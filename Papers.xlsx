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trlProps/ctrlProp179.xml" ContentType="application/vnd.ms-excel.controlproperties+xml"/>
  <Override PartName="/xl/ctrlProps/ctrlProp180.xml" ContentType="application/vnd.ms-excel.controlproperties+xml"/>
  <Override PartName="/xl/ctrlProps/ctrlProp181.xml" ContentType="application/vnd.ms-excel.controlproperties+xml"/>
  <Override PartName="/xl/ctrlProps/ctrlProp182.xml" ContentType="application/vnd.ms-excel.controlproperties+xml"/>
  <Override PartName="/xl/ctrlProps/ctrlProp183.xml" ContentType="application/vnd.ms-excel.controlproperties+xml"/>
  <Override PartName="/xl/ctrlProps/ctrlProp184.xml" ContentType="application/vnd.ms-excel.controlproperties+xml"/>
  <Override PartName="/xl/ctrlProps/ctrlProp185.xml" ContentType="application/vnd.ms-excel.controlproperties+xml"/>
  <Override PartName="/xl/ctrlProps/ctrlProp186.xml" ContentType="application/vnd.ms-excel.controlproperties+xml"/>
  <Override PartName="/xl/ctrlProps/ctrlProp187.xml" ContentType="application/vnd.ms-excel.controlproperties+xml"/>
  <Override PartName="/xl/ctrlProps/ctrlProp188.xml" ContentType="application/vnd.ms-excel.controlproperties+xml"/>
  <Override PartName="/xl/ctrlProps/ctrlProp189.xml" ContentType="application/vnd.ms-excel.controlproperties+xml"/>
  <Override PartName="/xl/ctrlProps/ctrlProp190.xml" ContentType="application/vnd.ms-excel.controlproperties+xml"/>
  <Override PartName="/xl/ctrlProps/ctrlProp191.xml" ContentType="application/vnd.ms-excel.controlproperties+xml"/>
  <Override PartName="/xl/ctrlProps/ctrlProp192.xml" ContentType="application/vnd.ms-excel.controlproperties+xml"/>
  <Override PartName="/xl/ctrlProps/ctrlProp193.xml" ContentType="application/vnd.ms-excel.controlproperties+xml"/>
  <Override PartName="/xl/ctrlProps/ctrlProp194.xml" ContentType="application/vnd.ms-excel.controlproperties+xml"/>
  <Override PartName="/xl/ctrlProps/ctrlProp195.xml" ContentType="application/vnd.ms-excel.controlproperties+xml"/>
  <Override PartName="/xl/ctrlProps/ctrlProp196.xml" ContentType="application/vnd.ms-excel.controlproperties+xml"/>
  <Override PartName="/xl/ctrlProps/ctrlProp197.xml" ContentType="application/vnd.ms-excel.controlproperties+xml"/>
  <Override PartName="/xl/ctrlProps/ctrlProp198.xml" ContentType="application/vnd.ms-excel.controlproperties+xml"/>
  <Override PartName="/xl/ctrlProps/ctrlProp199.xml" ContentType="application/vnd.ms-excel.controlproperties+xml"/>
  <Override PartName="/xl/ctrlProps/ctrlProp200.xml" ContentType="application/vnd.ms-excel.controlproperties+xml"/>
  <Override PartName="/xl/ctrlProps/ctrlProp201.xml" ContentType="application/vnd.ms-excel.controlproperties+xml"/>
  <Override PartName="/xl/ctrlProps/ctrlProp202.xml" ContentType="application/vnd.ms-excel.controlproperties+xml"/>
  <Override PartName="/xl/ctrlProps/ctrlProp203.xml" ContentType="application/vnd.ms-excel.controlproperties+xml"/>
  <Override PartName="/xl/ctrlProps/ctrlProp204.xml" ContentType="application/vnd.ms-excel.controlproperties+xml"/>
  <Override PartName="/xl/ctrlProps/ctrlProp205.xml" ContentType="application/vnd.ms-excel.controlproperties+xml"/>
  <Override PartName="/xl/ctrlProps/ctrlProp206.xml" ContentType="application/vnd.ms-excel.controlproperties+xml"/>
  <Override PartName="/xl/ctrlProps/ctrlProp207.xml" ContentType="application/vnd.ms-excel.controlproperties+xml"/>
  <Override PartName="/xl/ctrlProps/ctrlProp208.xml" ContentType="application/vnd.ms-excel.controlproperties+xml"/>
  <Override PartName="/xl/ctrlProps/ctrlProp209.xml" ContentType="application/vnd.ms-excel.controlproperties+xml"/>
  <Override PartName="/xl/ctrlProps/ctrlProp210.xml" ContentType="application/vnd.ms-excel.controlproperties+xml"/>
  <Override PartName="/xl/ctrlProps/ctrlProp211.xml" ContentType="application/vnd.ms-excel.controlproperties+xml"/>
  <Override PartName="/xl/ctrlProps/ctrlProp212.xml" ContentType="application/vnd.ms-excel.controlproperties+xml"/>
  <Override PartName="/xl/ctrlProps/ctrlProp213.xml" ContentType="application/vnd.ms-excel.controlproperties+xml"/>
  <Override PartName="/xl/ctrlProps/ctrlProp214.xml" ContentType="application/vnd.ms-excel.controlproperties+xml"/>
  <Override PartName="/xl/ctrlProps/ctrlProp215.xml" ContentType="application/vnd.ms-excel.controlproperties+xml"/>
  <Override PartName="/xl/ctrlProps/ctrlProp216.xml" ContentType="application/vnd.ms-excel.controlproperties+xml"/>
  <Override PartName="/xl/ctrlProps/ctrlProp217.xml" ContentType="application/vnd.ms-excel.controlproperties+xml"/>
  <Override PartName="/xl/ctrlProps/ctrlProp218.xml" ContentType="application/vnd.ms-excel.controlproperties+xml"/>
  <Override PartName="/xl/ctrlProps/ctrlProp219.xml" ContentType="application/vnd.ms-excel.controlproperties+xml"/>
  <Override PartName="/xl/ctrlProps/ctrlProp220.xml" ContentType="application/vnd.ms-excel.controlproperties+xml"/>
  <Override PartName="/xl/ctrlProps/ctrlProp221.xml" ContentType="application/vnd.ms-excel.controlproperties+xml"/>
  <Override PartName="/xl/ctrlProps/ctrlProp222.xml" ContentType="application/vnd.ms-excel.controlproperties+xml"/>
  <Override PartName="/xl/ctrlProps/ctrlProp223.xml" ContentType="application/vnd.ms-excel.controlproperties+xml"/>
  <Override PartName="/xl/ctrlProps/ctrlProp224.xml" ContentType="application/vnd.ms-excel.controlproperties+xml"/>
  <Override PartName="/xl/ctrlProps/ctrlProp225.xml" ContentType="application/vnd.ms-excel.controlproperties+xml"/>
  <Override PartName="/xl/ctrlProps/ctrlProp226.xml" ContentType="application/vnd.ms-excel.controlproperties+xml"/>
  <Override PartName="/xl/ctrlProps/ctrlProp227.xml" ContentType="application/vnd.ms-excel.controlproperties+xml"/>
  <Override PartName="/xl/ctrlProps/ctrlProp228.xml" ContentType="application/vnd.ms-excel.controlproperties+xml"/>
  <Override PartName="/xl/ctrlProps/ctrlProp229.xml" ContentType="application/vnd.ms-excel.controlproperties+xml"/>
  <Override PartName="/xl/ctrlProps/ctrlProp230.xml" ContentType="application/vnd.ms-excel.controlproperties+xml"/>
  <Override PartName="/xl/ctrlProps/ctrlProp231.xml" ContentType="application/vnd.ms-excel.controlproperties+xml"/>
  <Override PartName="/xl/ctrlProps/ctrlProp232.xml" ContentType="application/vnd.ms-excel.controlproperties+xml"/>
  <Override PartName="/xl/ctrlProps/ctrlProp233.xml" ContentType="application/vnd.ms-excel.controlproperties+xml"/>
  <Override PartName="/xl/ctrlProps/ctrlProp234.xml" ContentType="application/vnd.ms-excel.controlproperties+xml"/>
  <Override PartName="/xl/ctrlProps/ctrlProp235.xml" ContentType="application/vnd.ms-excel.controlproperties+xml"/>
  <Override PartName="/xl/ctrlProps/ctrlProp236.xml" ContentType="application/vnd.ms-excel.controlproperties+xml"/>
  <Override PartName="/xl/ctrlProps/ctrlProp237.xml" ContentType="application/vnd.ms-excel.controlproperties+xml"/>
  <Override PartName="/xl/ctrlProps/ctrlProp238.xml" ContentType="application/vnd.ms-excel.controlproperties+xml"/>
  <Override PartName="/xl/ctrlProps/ctrlProp239.xml" ContentType="application/vnd.ms-excel.controlproperties+xml"/>
  <Override PartName="/xl/ctrlProps/ctrlProp240.xml" ContentType="application/vnd.ms-excel.controlproperties+xml"/>
  <Override PartName="/xl/ctrlProps/ctrlProp241.xml" ContentType="application/vnd.ms-excel.controlproperties+xml"/>
  <Override PartName="/xl/ctrlProps/ctrlProp242.xml" ContentType="application/vnd.ms-excel.controlproperties+xml"/>
  <Override PartName="/xl/ctrlProps/ctrlProp243.xml" ContentType="application/vnd.ms-excel.controlproperties+xml"/>
  <Override PartName="/xl/ctrlProps/ctrlProp244.xml" ContentType="application/vnd.ms-excel.controlproperties+xml"/>
  <Override PartName="/xl/ctrlProps/ctrlProp245.xml" ContentType="application/vnd.ms-excel.controlproperties+xml"/>
  <Override PartName="/xl/ctrlProps/ctrlProp246.xml" ContentType="application/vnd.ms-excel.controlproperties+xml"/>
  <Override PartName="/xl/ctrlProps/ctrlProp247.xml" ContentType="application/vnd.ms-excel.controlproperties+xml"/>
  <Override PartName="/xl/ctrlProps/ctrlProp248.xml" ContentType="application/vnd.ms-excel.controlproperties+xml"/>
  <Override PartName="/xl/ctrlProps/ctrlProp249.xml" ContentType="application/vnd.ms-excel.controlproperties+xml"/>
  <Override PartName="/xl/ctrlProps/ctrlProp250.xml" ContentType="application/vnd.ms-excel.controlproperties+xml"/>
  <Override PartName="/xl/ctrlProps/ctrlProp251.xml" ContentType="application/vnd.ms-excel.controlproperties+xml"/>
  <Override PartName="/xl/ctrlProps/ctrlProp252.xml" ContentType="application/vnd.ms-excel.controlproperties+xml"/>
  <Override PartName="/xl/ctrlProps/ctrlProp253.xml" ContentType="application/vnd.ms-excel.controlproperties+xml"/>
  <Override PartName="/xl/ctrlProps/ctrlProp254.xml" ContentType="application/vnd.ms-excel.controlproperties+xml"/>
  <Override PartName="/xl/ctrlProps/ctrlProp255.xml" ContentType="application/vnd.ms-excel.controlproperties+xml"/>
  <Override PartName="/xl/ctrlProps/ctrlProp256.xml" ContentType="application/vnd.ms-excel.controlproperties+xml"/>
  <Override PartName="/xl/ctrlProps/ctrlProp257.xml" ContentType="application/vnd.ms-excel.controlproperties+xml"/>
  <Override PartName="/xl/ctrlProps/ctrlProp258.xml" ContentType="application/vnd.ms-excel.controlproperties+xml"/>
  <Override PartName="/xl/ctrlProps/ctrlProp259.xml" ContentType="application/vnd.ms-excel.controlproperties+xml"/>
  <Override PartName="/xl/ctrlProps/ctrlProp260.xml" ContentType="application/vnd.ms-excel.controlproperties+xml"/>
  <Override PartName="/xl/ctrlProps/ctrlProp261.xml" ContentType="application/vnd.ms-excel.controlproperties+xml"/>
  <Override PartName="/xl/ctrlProps/ctrlProp262.xml" ContentType="application/vnd.ms-excel.controlproperties+xml"/>
  <Override PartName="/xl/ctrlProps/ctrlProp263.xml" ContentType="application/vnd.ms-excel.controlproperties+xml"/>
  <Override PartName="/xl/ctrlProps/ctrlProp264.xml" ContentType="application/vnd.ms-excel.controlproperties+xml"/>
  <Override PartName="/xl/ctrlProps/ctrlProp265.xml" ContentType="application/vnd.ms-excel.controlproperties+xml"/>
  <Override PartName="/xl/ctrlProps/ctrlProp266.xml" ContentType="application/vnd.ms-excel.controlproperties+xml"/>
  <Override PartName="/xl/ctrlProps/ctrlProp267.xml" ContentType="application/vnd.ms-excel.controlproperties+xml"/>
  <Override PartName="/xl/ctrlProps/ctrlProp268.xml" ContentType="application/vnd.ms-excel.controlproperties+xml"/>
  <Override PartName="/xl/ctrlProps/ctrlProp269.xml" ContentType="application/vnd.ms-excel.controlproperties+xml"/>
  <Override PartName="/xl/ctrlProps/ctrlProp270.xml" ContentType="application/vnd.ms-excel.controlproperties+xml"/>
  <Override PartName="/xl/ctrlProps/ctrlProp271.xml" ContentType="application/vnd.ms-excel.controlproperties+xml"/>
  <Override PartName="/xl/ctrlProps/ctrlProp272.xml" ContentType="application/vnd.ms-excel.controlproperties+xml"/>
  <Override PartName="/xl/ctrlProps/ctrlProp273.xml" ContentType="application/vnd.ms-excel.controlproperties+xml"/>
  <Override PartName="/xl/ctrlProps/ctrlProp274.xml" ContentType="application/vnd.ms-excel.controlproperties+xml"/>
  <Override PartName="/xl/ctrlProps/ctrlProp275.xml" ContentType="application/vnd.ms-excel.controlproperties+xml"/>
  <Override PartName="/xl/ctrlProps/ctrlProp276.xml" ContentType="application/vnd.ms-excel.controlproperties+xml"/>
  <Override PartName="/xl/ctrlProps/ctrlProp277.xml" ContentType="application/vnd.ms-excel.controlproperties+xml"/>
  <Override PartName="/xl/ctrlProps/ctrlProp278.xml" ContentType="application/vnd.ms-excel.controlproperties+xml"/>
  <Override PartName="/xl/ctrlProps/ctrlProp279.xml" ContentType="application/vnd.ms-excel.controlproperties+xml"/>
  <Override PartName="/xl/ctrlProps/ctrlProp280.xml" ContentType="application/vnd.ms-excel.controlproperties+xml"/>
  <Override PartName="/xl/ctrlProps/ctrlProp281.xml" ContentType="application/vnd.ms-excel.controlproperties+xml"/>
  <Override PartName="/xl/ctrlProps/ctrlProp282.xml" ContentType="application/vnd.ms-excel.controlproperties+xml"/>
  <Override PartName="/xl/ctrlProps/ctrlProp283.xml" ContentType="application/vnd.ms-excel.controlproperties+xml"/>
  <Override PartName="/xl/ctrlProps/ctrlProp284.xml" ContentType="application/vnd.ms-excel.controlproperties+xml"/>
  <Override PartName="/xl/ctrlProps/ctrlProp285.xml" ContentType="application/vnd.ms-excel.controlproperties+xml"/>
  <Override PartName="/xl/ctrlProps/ctrlProp286.xml" ContentType="application/vnd.ms-excel.controlproperties+xml"/>
  <Override PartName="/xl/ctrlProps/ctrlProp287.xml" ContentType="application/vnd.ms-excel.controlproperties+xml"/>
  <Override PartName="/xl/ctrlProps/ctrlProp288.xml" ContentType="application/vnd.ms-excel.controlproperties+xml"/>
  <Override PartName="/xl/ctrlProps/ctrlProp289.xml" ContentType="application/vnd.ms-excel.controlproperties+xml"/>
  <Override PartName="/xl/ctrlProps/ctrlProp290.xml" ContentType="application/vnd.ms-excel.controlproperties+xml"/>
  <Override PartName="/xl/ctrlProps/ctrlProp291.xml" ContentType="application/vnd.ms-excel.controlproperties+xml"/>
  <Override PartName="/xl/ctrlProps/ctrlProp292.xml" ContentType="application/vnd.ms-excel.controlproperties+xml"/>
  <Override PartName="/xl/ctrlProps/ctrlProp293.xml" ContentType="application/vnd.ms-excel.controlproperties+xml"/>
  <Override PartName="/xl/ctrlProps/ctrlProp294.xml" ContentType="application/vnd.ms-excel.controlproperties+xml"/>
  <Override PartName="/xl/ctrlProps/ctrlProp295.xml" ContentType="application/vnd.ms-excel.controlproperties+xml"/>
  <Override PartName="/xl/ctrlProps/ctrlProp296.xml" ContentType="application/vnd.ms-excel.controlproperties+xml"/>
  <Override PartName="/xl/ctrlProps/ctrlProp297.xml" ContentType="application/vnd.ms-excel.controlproperties+xml"/>
  <Override PartName="/xl/ctrlProps/ctrlProp298.xml" ContentType="application/vnd.ms-excel.controlproperties+xml"/>
  <Override PartName="/xl/ctrlProps/ctrlProp299.xml" ContentType="application/vnd.ms-excel.controlproperties+xml"/>
  <Override PartName="/xl/ctrlProps/ctrlProp300.xml" ContentType="application/vnd.ms-excel.controlproperties+xml"/>
  <Override PartName="/xl/ctrlProps/ctrlProp301.xml" ContentType="application/vnd.ms-excel.controlproperties+xml"/>
  <Override PartName="/xl/ctrlProps/ctrlProp302.xml" ContentType="application/vnd.ms-excel.controlproperties+xml"/>
  <Override PartName="/xl/ctrlProps/ctrlProp303.xml" ContentType="application/vnd.ms-excel.controlproperties+xml"/>
  <Override PartName="/xl/ctrlProps/ctrlProp304.xml" ContentType="application/vnd.ms-excel.controlproperties+xml"/>
  <Override PartName="/xl/ctrlProps/ctrlProp305.xml" ContentType="application/vnd.ms-excel.controlproperties+xml"/>
  <Override PartName="/xl/ctrlProps/ctrlProp306.xml" ContentType="application/vnd.ms-excel.controlproperties+xml"/>
  <Override PartName="/xl/ctrlProps/ctrlProp307.xml" ContentType="application/vnd.ms-excel.controlproperties+xml"/>
  <Override PartName="/xl/ctrlProps/ctrlProp308.xml" ContentType="application/vnd.ms-excel.controlproperties+xml"/>
  <Override PartName="/xl/ctrlProps/ctrlProp309.xml" ContentType="application/vnd.ms-excel.controlproperties+xml"/>
  <Override PartName="/xl/ctrlProps/ctrlProp310.xml" ContentType="application/vnd.ms-excel.controlproperties+xml"/>
  <Override PartName="/xl/ctrlProps/ctrlProp311.xml" ContentType="application/vnd.ms-excel.controlproperties+xml"/>
  <Override PartName="/xl/ctrlProps/ctrlProp312.xml" ContentType="application/vnd.ms-excel.controlproperties+xml"/>
  <Override PartName="/xl/ctrlProps/ctrlProp313.xml" ContentType="application/vnd.ms-excel.controlproperties+xml"/>
  <Override PartName="/xl/ctrlProps/ctrlProp314.xml" ContentType="application/vnd.ms-excel.controlproperties+xml"/>
  <Override PartName="/xl/ctrlProps/ctrlProp315.xml" ContentType="application/vnd.ms-excel.controlproperties+xml"/>
  <Override PartName="/xl/ctrlProps/ctrlProp316.xml" ContentType="application/vnd.ms-excel.controlproperties+xml"/>
  <Override PartName="/xl/ctrlProps/ctrlProp317.xml" ContentType="application/vnd.ms-excel.controlproperties+xml"/>
  <Override PartName="/xl/ctrlProps/ctrlProp318.xml" ContentType="application/vnd.ms-excel.controlproperties+xml"/>
  <Override PartName="/xl/ctrlProps/ctrlProp319.xml" ContentType="application/vnd.ms-excel.controlproperties+xml"/>
  <Override PartName="/xl/ctrlProps/ctrlProp320.xml" ContentType="application/vnd.ms-excel.controlproperties+xml"/>
  <Override PartName="/xl/ctrlProps/ctrlProp321.xml" ContentType="application/vnd.ms-excel.controlproperties+xml"/>
  <Override PartName="/xl/ctrlProps/ctrlProp322.xml" ContentType="application/vnd.ms-excel.controlproperties+xml"/>
  <Override PartName="/xl/ctrlProps/ctrlProp323.xml" ContentType="application/vnd.ms-excel.controlproperties+xml"/>
  <Override PartName="/xl/ctrlProps/ctrlProp324.xml" ContentType="application/vnd.ms-excel.controlproperties+xml"/>
  <Override PartName="/xl/ctrlProps/ctrlProp325.xml" ContentType="application/vnd.ms-excel.controlproperties+xml"/>
  <Override PartName="/xl/ctrlProps/ctrlProp326.xml" ContentType="application/vnd.ms-excel.controlproperties+xml"/>
  <Override PartName="/xl/ctrlProps/ctrlProp327.xml" ContentType="application/vnd.ms-excel.controlproperties+xml"/>
  <Override PartName="/xl/ctrlProps/ctrlProp328.xml" ContentType="application/vnd.ms-excel.controlproperties+xml"/>
  <Override PartName="/xl/ctrlProps/ctrlProp329.xml" ContentType="application/vnd.ms-excel.controlproperties+xml"/>
  <Override PartName="/xl/ctrlProps/ctrlProp330.xml" ContentType="application/vnd.ms-excel.controlproperties+xml"/>
  <Override PartName="/xl/ctrlProps/ctrlProp331.xml" ContentType="application/vnd.ms-excel.controlproperties+xml"/>
  <Override PartName="/xl/ctrlProps/ctrlProp332.xml" ContentType="application/vnd.ms-excel.controlproperties+xml"/>
  <Override PartName="/xl/ctrlProps/ctrlProp333.xml" ContentType="application/vnd.ms-excel.controlproperties+xml"/>
  <Override PartName="/xl/ctrlProps/ctrlProp334.xml" ContentType="application/vnd.ms-excel.controlproperties+xml"/>
  <Override PartName="/xl/ctrlProps/ctrlProp335.xml" ContentType="application/vnd.ms-excel.controlproperties+xml"/>
  <Override PartName="/xl/ctrlProps/ctrlProp336.xml" ContentType="application/vnd.ms-excel.controlproperties+xml"/>
  <Override PartName="/xl/ctrlProps/ctrlProp337.xml" ContentType="application/vnd.ms-excel.controlproperties+xml"/>
  <Override PartName="/xl/ctrlProps/ctrlProp338.xml" ContentType="application/vnd.ms-excel.controlproperties+xml"/>
  <Override PartName="/xl/ctrlProps/ctrlProp339.xml" ContentType="application/vnd.ms-excel.controlproperties+xml"/>
  <Override PartName="/xl/ctrlProps/ctrlProp340.xml" ContentType="application/vnd.ms-excel.controlproperties+xml"/>
  <Override PartName="/xl/ctrlProps/ctrlProp341.xml" ContentType="application/vnd.ms-excel.controlproperties+xml"/>
  <Override PartName="/xl/ctrlProps/ctrlProp342.xml" ContentType="application/vnd.ms-excel.controlproperties+xml"/>
  <Override PartName="/xl/ctrlProps/ctrlProp343.xml" ContentType="application/vnd.ms-excel.controlproperties+xml"/>
  <Override PartName="/xl/ctrlProps/ctrlProp344.xml" ContentType="application/vnd.ms-excel.controlproperties+xml"/>
  <Override PartName="/xl/ctrlProps/ctrlProp345.xml" ContentType="application/vnd.ms-excel.controlproperties+xml"/>
  <Override PartName="/xl/ctrlProps/ctrlProp346.xml" ContentType="application/vnd.ms-excel.controlproperties+xml"/>
  <Override PartName="/xl/ctrlProps/ctrlProp347.xml" ContentType="application/vnd.ms-excel.controlproperties+xml"/>
  <Override PartName="/xl/ctrlProps/ctrlProp348.xml" ContentType="application/vnd.ms-excel.controlproperties+xml"/>
  <Override PartName="/xl/ctrlProps/ctrlProp349.xml" ContentType="application/vnd.ms-excel.controlproperties+xml"/>
  <Override PartName="/xl/ctrlProps/ctrlProp350.xml" ContentType="application/vnd.ms-excel.controlproperties+xml"/>
  <Override PartName="/xl/ctrlProps/ctrlProp351.xml" ContentType="application/vnd.ms-excel.controlproperties+xml"/>
  <Override PartName="/xl/ctrlProps/ctrlProp352.xml" ContentType="application/vnd.ms-excel.controlproperties+xml"/>
  <Override PartName="/xl/ctrlProps/ctrlProp353.xml" ContentType="application/vnd.ms-excel.controlproperties+xml"/>
  <Override PartName="/xl/ctrlProps/ctrlProp354.xml" ContentType="application/vnd.ms-excel.controlproperties+xml"/>
  <Override PartName="/xl/ctrlProps/ctrlProp355.xml" ContentType="application/vnd.ms-excel.controlproperties+xml"/>
  <Override PartName="/xl/ctrlProps/ctrlProp356.xml" ContentType="application/vnd.ms-excel.controlproperties+xml"/>
  <Override PartName="/xl/ctrlProps/ctrlProp357.xml" ContentType="application/vnd.ms-excel.controlproperties+xml"/>
  <Override PartName="/xl/ctrlProps/ctrlProp358.xml" ContentType="application/vnd.ms-excel.controlproperties+xml"/>
  <Override PartName="/xl/ctrlProps/ctrlProp359.xml" ContentType="application/vnd.ms-excel.controlproperties+xml"/>
  <Override PartName="/xl/ctrlProps/ctrlProp360.xml" ContentType="application/vnd.ms-excel.controlproperties+xml"/>
  <Override PartName="/xl/ctrlProps/ctrlProp361.xml" ContentType="application/vnd.ms-excel.controlproperties+xml"/>
  <Override PartName="/xl/ctrlProps/ctrlProp362.xml" ContentType="application/vnd.ms-excel.controlproperties+xml"/>
  <Override PartName="/xl/ctrlProps/ctrlProp363.xml" ContentType="application/vnd.ms-excel.controlproperties+xml"/>
  <Override PartName="/xl/ctrlProps/ctrlProp364.xml" ContentType="application/vnd.ms-excel.controlproperties+xml"/>
  <Override PartName="/xl/ctrlProps/ctrlProp365.xml" ContentType="application/vnd.ms-excel.controlproperties+xml"/>
  <Override PartName="/xl/ctrlProps/ctrlProp366.xml" ContentType="application/vnd.ms-excel.controlproperties+xml"/>
  <Override PartName="/xl/ctrlProps/ctrlProp367.xml" ContentType="application/vnd.ms-excel.controlproperties+xml"/>
  <Override PartName="/xl/ctrlProps/ctrlProp368.xml" ContentType="application/vnd.ms-excel.controlproperties+xml"/>
  <Override PartName="/xl/ctrlProps/ctrlProp369.xml" ContentType="application/vnd.ms-excel.controlproperties+xml"/>
  <Override PartName="/xl/ctrlProps/ctrlProp370.xml" ContentType="application/vnd.ms-excel.controlproperties+xml"/>
  <Override PartName="/xl/ctrlProps/ctrlProp371.xml" ContentType="application/vnd.ms-excel.controlproperties+xml"/>
  <Override PartName="/xl/ctrlProps/ctrlProp372.xml" ContentType="application/vnd.ms-excel.controlproperties+xml"/>
  <Override PartName="/xl/ctrlProps/ctrlProp373.xml" ContentType="application/vnd.ms-excel.controlproperties+xml"/>
  <Override PartName="/xl/ctrlProps/ctrlProp374.xml" ContentType="application/vnd.ms-excel.controlproperties+xml"/>
  <Override PartName="/xl/ctrlProps/ctrlProp375.xml" ContentType="application/vnd.ms-excel.controlproperties+xml"/>
  <Override PartName="/xl/ctrlProps/ctrlProp376.xml" ContentType="application/vnd.ms-excel.controlproperties+xml"/>
  <Override PartName="/xl/ctrlProps/ctrlProp377.xml" ContentType="application/vnd.ms-excel.controlproperties+xml"/>
  <Override PartName="/xl/ctrlProps/ctrlProp378.xml" ContentType="application/vnd.ms-excel.controlproperties+xml"/>
  <Override PartName="/xl/ctrlProps/ctrlProp379.xml" ContentType="application/vnd.ms-excel.controlproperties+xml"/>
  <Override PartName="/xl/ctrlProps/ctrlProp380.xml" ContentType="application/vnd.ms-excel.controlproperties+xml"/>
  <Override PartName="/xl/ctrlProps/ctrlProp381.xml" ContentType="application/vnd.ms-excel.controlproperties+xml"/>
  <Override PartName="/xl/ctrlProps/ctrlProp382.xml" ContentType="application/vnd.ms-excel.controlproperties+xml"/>
  <Override PartName="/xl/ctrlProps/ctrlProp383.xml" ContentType="application/vnd.ms-excel.controlproperties+xml"/>
  <Override PartName="/xl/ctrlProps/ctrlProp384.xml" ContentType="application/vnd.ms-excel.controlproperties+xml"/>
  <Override PartName="/xl/ctrlProps/ctrlProp385.xml" ContentType="application/vnd.ms-excel.controlproperties+xml"/>
  <Override PartName="/xl/ctrlProps/ctrlProp386.xml" ContentType="application/vnd.ms-excel.controlproperties+xml"/>
  <Override PartName="/xl/ctrlProps/ctrlProp387.xml" ContentType="application/vnd.ms-excel.controlproperties+xml"/>
  <Override PartName="/xl/ctrlProps/ctrlProp388.xml" ContentType="application/vnd.ms-excel.controlproperties+xml"/>
  <Override PartName="/xl/ctrlProps/ctrlProp389.xml" ContentType="application/vnd.ms-excel.controlproperties+xml"/>
  <Override PartName="/xl/ctrlProps/ctrlProp390.xml" ContentType="application/vnd.ms-excel.controlproperties+xml"/>
  <Override PartName="/xl/ctrlProps/ctrlProp391.xml" ContentType="application/vnd.ms-excel.controlproperties+xml"/>
  <Override PartName="/xl/ctrlProps/ctrlProp392.xml" ContentType="application/vnd.ms-excel.controlproperties+xml"/>
  <Override PartName="/xl/ctrlProps/ctrlProp393.xml" ContentType="application/vnd.ms-excel.controlproperties+xml"/>
  <Override PartName="/xl/ctrlProps/ctrlProp394.xml" ContentType="application/vnd.ms-excel.controlproperties+xml"/>
  <Override PartName="/xl/ctrlProps/ctrlProp395.xml" ContentType="application/vnd.ms-excel.controlproperties+xml"/>
  <Override PartName="/xl/ctrlProps/ctrlProp396.xml" ContentType="application/vnd.ms-excel.controlproperties+xml"/>
  <Override PartName="/xl/ctrlProps/ctrlProp397.xml" ContentType="application/vnd.ms-excel.controlproperties+xml"/>
  <Override PartName="/xl/ctrlProps/ctrlProp398.xml" ContentType="application/vnd.ms-excel.controlproperties+xml"/>
  <Override PartName="/xl/ctrlProps/ctrlProp399.xml" ContentType="application/vnd.ms-excel.controlproperties+xml"/>
  <Override PartName="/xl/ctrlProps/ctrlProp400.xml" ContentType="application/vnd.ms-excel.controlproperties+xml"/>
  <Override PartName="/xl/ctrlProps/ctrlProp401.xml" ContentType="application/vnd.ms-excel.controlproperties+xml"/>
  <Override PartName="/xl/ctrlProps/ctrlProp402.xml" ContentType="application/vnd.ms-excel.controlproperties+xml"/>
  <Override PartName="/xl/ctrlProps/ctrlProp403.xml" ContentType="application/vnd.ms-excel.controlproperties+xml"/>
  <Override PartName="/xl/ctrlProps/ctrlProp404.xml" ContentType="application/vnd.ms-excel.controlproperties+xml"/>
  <Override PartName="/xl/ctrlProps/ctrlProp405.xml" ContentType="application/vnd.ms-excel.controlproperties+xml"/>
  <Override PartName="/xl/ctrlProps/ctrlProp406.xml" ContentType="application/vnd.ms-excel.controlproperties+xml"/>
  <Override PartName="/xl/ctrlProps/ctrlProp407.xml" ContentType="application/vnd.ms-excel.controlproperties+xml"/>
  <Override PartName="/xl/ctrlProps/ctrlProp408.xml" ContentType="application/vnd.ms-excel.controlproperties+xml"/>
  <Override PartName="/xl/ctrlProps/ctrlProp409.xml" ContentType="application/vnd.ms-excel.controlproperties+xml"/>
  <Override PartName="/xl/ctrlProps/ctrlProp410.xml" ContentType="application/vnd.ms-excel.controlproperties+xml"/>
  <Override PartName="/xl/ctrlProps/ctrlProp411.xml" ContentType="application/vnd.ms-excel.controlproperties+xml"/>
  <Override PartName="/xl/ctrlProps/ctrlProp412.xml" ContentType="application/vnd.ms-excel.controlproperties+xml"/>
  <Override PartName="/xl/ctrlProps/ctrlProp413.xml" ContentType="application/vnd.ms-excel.controlproperties+xml"/>
  <Override PartName="/xl/ctrlProps/ctrlProp414.xml" ContentType="application/vnd.ms-excel.controlproperties+xml"/>
  <Override PartName="/xl/ctrlProps/ctrlProp415.xml" ContentType="application/vnd.ms-excel.controlproperties+xml"/>
  <Override PartName="/xl/ctrlProps/ctrlProp416.xml" ContentType="application/vnd.ms-excel.controlproperties+xml"/>
  <Override PartName="/xl/ctrlProps/ctrlProp417.xml" ContentType="application/vnd.ms-excel.controlproperties+xml"/>
  <Override PartName="/xl/ctrlProps/ctrlProp418.xml" ContentType="application/vnd.ms-excel.controlproperties+xml"/>
  <Override PartName="/xl/ctrlProps/ctrlProp419.xml" ContentType="application/vnd.ms-excel.controlproperties+xml"/>
  <Override PartName="/xl/ctrlProps/ctrlProp420.xml" ContentType="application/vnd.ms-excel.controlproperties+xml"/>
  <Override PartName="/xl/ctrlProps/ctrlProp421.xml" ContentType="application/vnd.ms-excel.controlproperties+xml"/>
  <Override PartName="/xl/ctrlProps/ctrlProp422.xml" ContentType="application/vnd.ms-excel.controlproperties+xml"/>
  <Override PartName="/xl/ctrlProps/ctrlProp423.xml" ContentType="application/vnd.ms-excel.controlproperties+xml"/>
  <Override PartName="/xl/ctrlProps/ctrlProp424.xml" ContentType="application/vnd.ms-excel.controlproperties+xml"/>
  <Override PartName="/xl/ctrlProps/ctrlProp425.xml" ContentType="application/vnd.ms-excel.controlproperties+xml"/>
  <Override PartName="/xl/ctrlProps/ctrlProp426.xml" ContentType="application/vnd.ms-excel.controlproperties+xml"/>
  <Override PartName="/xl/ctrlProps/ctrlProp427.xml" ContentType="application/vnd.ms-excel.controlproperties+xml"/>
  <Override PartName="/xl/ctrlProps/ctrlProp428.xml" ContentType="application/vnd.ms-excel.controlproperties+xml"/>
  <Override PartName="/xl/ctrlProps/ctrlProp429.xml" ContentType="application/vnd.ms-excel.controlproperties+xml"/>
  <Override PartName="/xl/ctrlProps/ctrlProp430.xml" ContentType="application/vnd.ms-excel.controlproperties+xml"/>
  <Override PartName="/xl/ctrlProps/ctrlProp431.xml" ContentType="application/vnd.ms-excel.controlproperties+xml"/>
  <Override PartName="/xl/ctrlProps/ctrlProp432.xml" ContentType="application/vnd.ms-excel.controlproperties+xml"/>
  <Override PartName="/xl/ctrlProps/ctrlProp433.xml" ContentType="application/vnd.ms-excel.controlproperties+xml"/>
  <Override PartName="/xl/ctrlProps/ctrlProp434.xml" ContentType="application/vnd.ms-excel.controlproperties+xml"/>
  <Override PartName="/xl/ctrlProps/ctrlProp435.xml" ContentType="application/vnd.ms-excel.controlproperties+xml"/>
  <Override PartName="/xl/ctrlProps/ctrlProp436.xml" ContentType="application/vnd.ms-excel.controlproperties+xml"/>
  <Override PartName="/xl/ctrlProps/ctrlProp437.xml" ContentType="application/vnd.ms-excel.controlproperties+xml"/>
  <Override PartName="/xl/ctrlProps/ctrlProp438.xml" ContentType="application/vnd.ms-excel.controlproperties+xml"/>
  <Override PartName="/xl/ctrlProps/ctrlProp439.xml" ContentType="application/vnd.ms-excel.controlproperties+xml"/>
  <Override PartName="/xl/ctrlProps/ctrlProp440.xml" ContentType="application/vnd.ms-excel.controlproperties+xml"/>
  <Override PartName="/xl/ctrlProps/ctrlProp441.xml" ContentType="application/vnd.ms-excel.controlproperties+xml"/>
  <Override PartName="/xl/ctrlProps/ctrlProp442.xml" ContentType="application/vnd.ms-excel.controlproperties+xml"/>
  <Override PartName="/xl/ctrlProps/ctrlProp443.xml" ContentType="application/vnd.ms-excel.controlproperties+xml"/>
  <Override PartName="/xl/ctrlProps/ctrlProp444.xml" ContentType="application/vnd.ms-excel.controlproperties+xml"/>
  <Override PartName="/xl/ctrlProps/ctrlProp445.xml" ContentType="application/vnd.ms-excel.controlproperties+xml"/>
  <Override PartName="/xl/ctrlProps/ctrlProp446.xml" ContentType="application/vnd.ms-excel.controlproperties+xml"/>
  <Override PartName="/xl/ctrlProps/ctrlProp447.xml" ContentType="application/vnd.ms-excel.controlproperties+xml"/>
  <Override PartName="/xl/ctrlProps/ctrlProp448.xml" ContentType="application/vnd.ms-excel.controlproperties+xml"/>
  <Override PartName="/xl/ctrlProps/ctrlProp449.xml" ContentType="application/vnd.ms-excel.controlproperties+xml"/>
  <Override PartName="/xl/ctrlProps/ctrlProp450.xml" ContentType="application/vnd.ms-excel.controlproperties+xml"/>
  <Override PartName="/xl/ctrlProps/ctrlProp451.xml" ContentType="application/vnd.ms-excel.controlproperties+xml"/>
  <Override PartName="/xl/ctrlProps/ctrlProp452.xml" ContentType="application/vnd.ms-excel.controlproperties+xml"/>
  <Override PartName="/xl/ctrlProps/ctrlProp453.xml" ContentType="application/vnd.ms-excel.controlproperties+xml"/>
  <Override PartName="/xl/ctrlProps/ctrlProp454.xml" ContentType="application/vnd.ms-excel.controlproperties+xml"/>
  <Override PartName="/xl/ctrlProps/ctrlProp455.xml" ContentType="application/vnd.ms-excel.controlproperties+xml"/>
  <Override PartName="/xl/ctrlProps/ctrlProp456.xml" ContentType="application/vnd.ms-excel.controlpropertie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E0305219\OneDrive - Ecopetrol S.A\Proyectos_2023\"/>
    </mc:Choice>
  </mc:AlternateContent>
  <xr:revisionPtr revIDLastSave="0" documentId="8_{5B39705B-724F-4437-88BE-74BC972637EF}" xr6:coauthVersionLast="47" xr6:coauthVersionMax="47" xr10:uidLastSave="{00000000-0000-0000-0000-000000000000}"/>
  <bookViews>
    <workbookView xWindow="-120" yWindow="-120" windowWidth="29040" windowHeight="15720" tabRatio="762" xr2:uid="{00000000-000D-0000-FFFF-FFFF00000000}"/>
  </bookViews>
  <sheets>
    <sheet name="Consolidado de precios" sheetId="5" r:id="rId1"/>
    <sheet name="Gráfico" sheetId="16" r:id="rId2"/>
    <sheet name="Tecnologías avanzadas" sheetId="17" r:id="rId3"/>
    <sheet name="Absolute Imaging" sheetId="6" state="hidden" r:id="rId4"/>
    <sheet name="AGT" sheetId="7" state="hidden" r:id="rId5"/>
    <sheet name="EGS" sheetId="8" state="hidden" r:id="rId6"/>
    <sheet name="Geofizyka Torum" sheetId="9" state="hidden" r:id="rId7"/>
    <sheet name="Geotomo" sheetId="10" state="hidden" r:id="rId8"/>
    <sheet name="Inforpetrol" sheetId="11" state="hidden" r:id="rId9"/>
    <sheet name="Petroseis" sheetId="12" state="hidden" r:id="rId10"/>
    <sheet name="Schlumberger" sheetId="13" state="hidden" r:id="rId11"/>
    <sheet name="Teec Solutions" sheetId="14" state="hidden" r:id="rId12"/>
    <sheet name="Z Terra" sheetId="15" state="hidden" r:id="rId13"/>
  </sheets>
  <definedNames>
    <definedName name="_xlnm._FilterDatabase" localSheetId="0" hidden="1">'Consolidado de precios'!$B$8:$AA$61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45" i="5" l="1"/>
  <c r="Q44" i="5"/>
  <c r="R44" i="5" s="1"/>
  <c r="Q43" i="5"/>
  <c r="S43" i="5" s="1"/>
  <c r="Q42" i="5"/>
  <c r="U42" i="5" s="1"/>
  <c r="Q41" i="5"/>
  <c r="T41" i="5" s="1"/>
  <c r="Q40" i="5"/>
  <c r="S40" i="5" s="1"/>
  <c r="Q39" i="5"/>
  <c r="T39" i="5" s="1"/>
  <c r="Q38" i="5"/>
  <c r="AA38" i="5" s="1"/>
  <c r="Q37" i="5"/>
  <c r="T37" i="5" s="1"/>
  <c r="Q36" i="5"/>
  <c r="Z36" i="5" s="1"/>
  <c r="Q35" i="5"/>
  <c r="Z35" i="5" s="1"/>
  <c r="Q34" i="5"/>
  <c r="W34" i="5" s="1"/>
  <c r="Q33" i="5"/>
  <c r="T33" i="5" s="1"/>
  <c r="Q32" i="5"/>
  <c r="S32" i="5" s="1"/>
  <c r="Q31" i="5"/>
  <c r="X31" i="5" s="1"/>
  <c r="Q30" i="5"/>
  <c r="S30" i="5" s="1"/>
  <c r="Q29" i="5"/>
  <c r="Y29" i="5" s="1"/>
  <c r="Q28" i="5"/>
  <c r="U28" i="5" s="1"/>
  <c r="Q27" i="5"/>
  <c r="R45" i="5"/>
  <c r="S41" i="5"/>
  <c r="S29" i="5"/>
  <c r="V29" i="5"/>
  <c r="W29" i="5"/>
  <c r="X29" i="5"/>
  <c r="W31" i="5"/>
  <c r="S38" i="5"/>
  <c r="U38" i="5"/>
  <c r="Z38" i="5"/>
  <c r="Z39" i="5"/>
  <c r="U40" i="5"/>
  <c r="V40" i="5"/>
  <c r="X40" i="5"/>
  <c r="Y40" i="5"/>
  <c r="Z40" i="5"/>
  <c r="AA40" i="5"/>
  <c r="X41" i="5"/>
  <c r="Y41" i="5"/>
  <c r="V42" i="5"/>
  <c r="AA42" i="5"/>
  <c r="T44" i="5"/>
  <c r="U44" i="5"/>
  <c r="V44" i="5"/>
  <c r="W44" i="5"/>
  <c r="X44" i="5"/>
  <c r="Y44" i="5"/>
  <c r="Z44" i="5"/>
  <c r="AA44" i="5"/>
  <c r="R40" i="5"/>
  <c r="R39" i="5"/>
  <c r="R38" i="5"/>
  <c r="R29" i="5"/>
  <c r="R28" i="5"/>
  <c r="AA353" i="17"/>
  <c r="Z353" i="17"/>
  <c r="Y353" i="17"/>
  <c r="X353" i="17"/>
  <c r="W353" i="17"/>
  <c r="V353" i="17"/>
  <c r="U353" i="17"/>
  <c r="T353" i="17"/>
  <c r="S353" i="17"/>
  <c r="R353" i="17"/>
  <c r="AA351" i="17"/>
  <c r="Z351" i="17"/>
  <c r="Y351" i="17"/>
  <c r="X351" i="17"/>
  <c r="W351" i="17"/>
  <c r="V351" i="17"/>
  <c r="U351" i="17"/>
  <c r="T351" i="17"/>
  <c r="S351" i="17"/>
  <c r="R351" i="17"/>
  <c r="AA349" i="17"/>
  <c r="Z349" i="17"/>
  <c r="Y349" i="17"/>
  <c r="X349" i="17"/>
  <c r="W349" i="17"/>
  <c r="V349" i="17"/>
  <c r="U349" i="17"/>
  <c r="T349" i="17"/>
  <c r="S349" i="17"/>
  <c r="R349" i="17"/>
  <c r="AA347" i="17"/>
  <c r="Z347" i="17"/>
  <c r="Y347" i="17"/>
  <c r="X347" i="17"/>
  <c r="W347" i="17"/>
  <c r="V347" i="17"/>
  <c r="U347" i="17"/>
  <c r="T347" i="17"/>
  <c r="S347" i="17"/>
  <c r="R347" i="17"/>
  <c r="AA345" i="17"/>
  <c r="Z345" i="17"/>
  <c r="Y345" i="17"/>
  <c r="X345" i="17"/>
  <c r="W345" i="17"/>
  <c r="V345" i="17"/>
  <c r="U345" i="17"/>
  <c r="T345" i="17"/>
  <c r="S345" i="17"/>
  <c r="R345" i="17"/>
  <c r="AA343" i="17"/>
  <c r="Z343" i="17"/>
  <c r="Y343" i="17"/>
  <c r="X343" i="17"/>
  <c r="W343" i="17"/>
  <c r="V343" i="17"/>
  <c r="U343" i="17"/>
  <c r="T343" i="17"/>
  <c r="S343" i="17"/>
  <c r="R343" i="17"/>
  <c r="AA341" i="17"/>
  <c r="Z341" i="17"/>
  <c r="Y341" i="17"/>
  <c r="X341" i="17"/>
  <c r="W341" i="17"/>
  <c r="V341" i="17"/>
  <c r="U341" i="17"/>
  <c r="T341" i="17"/>
  <c r="S341" i="17"/>
  <c r="R341" i="17"/>
  <c r="AA339" i="17"/>
  <c r="Z339" i="17"/>
  <c r="Y339" i="17"/>
  <c r="X339" i="17"/>
  <c r="W339" i="17"/>
  <c r="V339" i="17"/>
  <c r="U339" i="17"/>
  <c r="T339" i="17"/>
  <c r="S339" i="17"/>
  <c r="R339" i="17"/>
  <c r="AA337" i="17"/>
  <c r="Z337" i="17"/>
  <c r="Y337" i="17"/>
  <c r="X337" i="17"/>
  <c r="W337" i="17"/>
  <c r="V337" i="17"/>
  <c r="U337" i="17"/>
  <c r="T337" i="17"/>
  <c r="S337" i="17"/>
  <c r="R337" i="17"/>
  <c r="AA335" i="17"/>
  <c r="Z335" i="17"/>
  <c r="Y335" i="17"/>
  <c r="X335" i="17"/>
  <c r="W335" i="17"/>
  <c r="V335" i="17"/>
  <c r="U335" i="17"/>
  <c r="T335" i="17"/>
  <c r="S335" i="17"/>
  <c r="R335" i="17"/>
  <c r="AA333" i="17"/>
  <c r="Z333" i="17"/>
  <c r="Y333" i="17"/>
  <c r="X333" i="17"/>
  <c r="W333" i="17"/>
  <c r="V333" i="17"/>
  <c r="U333" i="17"/>
  <c r="T333" i="17"/>
  <c r="S333" i="17"/>
  <c r="R333" i="17"/>
  <c r="AA331" i="17"/>
  <c r="Z331" i="17"/>
  <c r="Y331" i="17"/>
  <c r="X331" i="17"/>
  <c r="W331" i="17"/>
  <c r="V331" i="17"/>
  <c r="U331" i="17"/>
  <c r="T331" i="17"/>
  <c r="S331" i="17"/>
  <c r="R331" i="17"/>
  <c r="AA329" i="17"/>
  <c r="Z329" i="17"/>
  <c r="Y329" i="17"/>
  <c r="X329" i="17"/>
  <c r="W329" i="17"/>
  <c r="V329" i="17"/>
  <c r="U329" i="17"/>
  <c r="T329" i="17"/>
  <c r="S329" i="17"/>
  <c r="R329" i="17"/>
  <c r="AA327" i="17"/>
  <c r="Z327" i="17"/>
  <c r="Y327" i="17"/>
  <c r="X327" i="17"/>
  <c r="W327" i="17"/>
  <c r="V327" i="17"/>
  <c r="U327" i="17"/>
  <c r="T327" i="17"/>
  <c r="S327" i="17"/>
  <c r="R327" i="17"/>
  <c r="AA325" i="17"/>
  <c r="Z325" i="17"/>
  <c r="Y325" i="17"/>
  <c r="X325" i="17"/>
  <c r="W325" i="17"/>
  <c r="V325" i="17"/>
  <c r="U325" i="17"/>
  <c r="T325" i="17"/>
  <c r="S325" i="17"/>
  <c r="R325" i="17"/>
  <c r="AA323" i="17"/>
  <c r="Z323" i="17"/>
  <c r="Y323" i="17"/>
  <c r="X323" i="17"/>
  <c r="W323" i="17"/>
  <c r="V323" i="17"/>
  <c r="U323" i="17"/>
  <c r="T323" i="17"/>
  <c r="S323" i="17"/>
  <c r="R323" i="17"/>
  <c r="AA321" i="17"/>
  <c r="Z321" i="17"/>
  <c r="Y321" i="17"/>
  <c r="X321" i="17"/>
  <c r="W321" i="17"/>
  <c r="V321" i="17"/>
  <c r="U321" i="17"/>
  <c r="T321" i="17"/>
  <c r="S321" i="17"/>
  <c r="R321" i="17"/>
  <c r="AA319" i="17"/>
  <c r="Z319" i="17"/>
  <c r="Y319" i="17"/>
  <c r="X319" i="17"/>
  <c r="W319" i="17"/>
  <c r="V319" i="17"/>
  <c r="U319" i="17"/>
  <c r="T319" i="17"/>
  <c r="S319" i="17"/>
  <c r="R319" i="17"/>
  <c r="AA317" i="17"/>
  <c r="Z317" i="17"/>
  <c r="Y317" i="17"/>
  <c r="X317" i="17"/>
  <c r="W317" i="17"/>
  <c r="V317" i="17"/>
  <c r="U317" i="17"/>
  <c r="T317" i="17"/>
  <c r="S317" i="17"/>
  <c r="R317" i="17"/>
  <c r="AA315" i="17"/>
  <c r="Z315" i="17"/>
  <c r="Y315" i="17"/>
  <c r="X315" i="17"/>
  <c r="W315" i="17"/>
  <c r="V315" i="17"/>
  <c r="U315" i="17"/>
  <c r="T315" i="17"/>
  <c r="S315" i="17"/>
  <c r="R315" i="17"/>
  <c r="AA313" i="17"/>
  <c r="Z313" i="17"/>
  <c r="Y313" i="17"/>
  <c r="X313" i="17"/>
  <c r="W313" i="17"/>
  <c r="V313" i="17"/>
  <c r="U313" i="17"/>
  <c r="T313" i="17"/>
  <c r="S313" i="17"/>
  <c r="R313" i="17"/>
  <c r="AA311" i="17"/>
  <c r="Z311" i="17"/>
  <c r="Y311" i="17"/>
  <c r="X311" i="17"/>
  <c r="W311" i="17"/>
  <c r="V311" i="17"/>
  <c r="U311" i="17"/>
  <c r="T311" i="17"/>
  <c r="S311" i="17"/>
  <c r="R311" i="17"/>
  <c r="AA309" i="17"/>
  <c r="Z309" i="17"/>
  <c r="Y309" i="17"/>
  <c r="X309" i="17"/>
  <c r="W309" i="17"/>
  <c r="V309" i="17"/>
  <c r="U309" i="17"/>
  <c r="T309" i="17"/>
  <c r="S309" i="17"/>
  <c r="R309" i="17"/>
  <c r="AA307" i="17"/>
  <c r="Z307" i="17"/>
  <c r="Y307" i="17"/>
  <c r="X307" i="17"/>
  <c r="W307" i="17"/>
  <c r="V307" i="17"/>
  <c r="U307" i="17"/>
  <c r="T307" i="17"/>
  <c r="S307" i="17"/>
  <c r="R307" i="17"/>
  <c r="AA305" i="17"/>
  <c r="Z305" i="17"/>
  <c r="Y305" i="17"/>
  <c r="X305" i="17"/>
  <c r="W305" i="17"/>
  <c r="V305" i="17"/>
  <c r="U305" i="17"/>
  <c r="T305" i="17"/>
  <c r="S305" i="17"/>
  <c r="R305" i="17"/>
  <c r="AA303" i="17"/>
  <c r="Z303" i="17"/>
  <c r="Y303" i="17"/>
  <c r="X303" i="17"/>
  <c r="W303" i="17"/>
  <c r="V303" i="17"/>
  <c r="U303" i="17"/>
  <c r="T303" i="17"/>
  <c r="S303" i="17"/>
  <c r="R303" i="17"/>
  <c r="AA301" i="17"/>
  <c r="Z301" i="17"/>
  <c r="Y301" i="17"/>
  <c r="X301" i="17"/>
  <c r="W301" i="17"/>
  <c r="V301" i="17"/>
  <c r="U301" i="17"/>
  <c r="T301" i="17"/>
  <c r="S301" i="17"/>
  <c r="R301" i="17"/>
  <c r="AA299" i="17"/>
  <c r="Z299" i="17"/>
  <c r="Y299" i="17"/>
  <c r="X299" i="17"/>
  <c r="W299" i="17"/>
  <c r="V299" i="17"/>
  <c r="U299" i="17"/>
  <c r="T299" i="17"/>
  <c r="S299" i="17"/>
  <c r="R299" i="17"/>
  <c r="AA297" i="17"/>
  <c r="Z297" i="17"/>
  <c r="Y297" i="17"/>
  <c r="X297" i="17"/>
  <c r="W297" i="17"/>
  <c r="V297" i="17"/>
  <c r="U297" i="17"/>
  <c r="T297" i="17"/>
  <c r="S297" i="17"/>
  <c r="R297" i="17"/>
  <c r="AA295" i="17"/>
  <c r="Z295" i="17"/>
  <c r="Y295" i="17"/>
  <c r="X295" i="17"/>
  <c r="W295" i="17"/>
  <c r="V295" i="17"/>
  <c r="U295" i="17"/>
  <c r="T295" i="17"/>
  <c r="S295" i="17"/>
  <c r="R295" i="17"/>
  <c r="AA293" i="17"/>
  <c r="Z293" i="17"/>
  <c r="Y293" i="17"/>
  <c r="X293" i="17"/>
  <c r="W293" i="17"/>
  <c r="V293" i="17"/>
  <c r="U293" i="17"/>
  <c r="T293" i="17"/>
  <c r="S293" i="17"/>
  <c r="R293" i="17"/>
  <c r="AA291" i="17"/>
  <c r="Z291" i="17"/>
  <c r="Y291" i="17"/>
  <c r="X291" i="17"/>
  <c r="W291" i="17"/>
  <c r="V291" i="17"/>
  <c r="U291" i="17"/>
  <c r="T291" i="17"/>
  <c r="S291" i="17"/>
  <c r="R291" i="17"/>
  <c r="AA289" i="17"/>
  <c r="Z289" i="17"/>
  <c r="Y289" i="17"/>
  <c r="X289" i="17"/>
  <c r="W289" i="17"/>
  <c r="V289" i="17"/>
  <c r="U289" i="17"/>
  <c r="T289" i="17"/>
  <c r="S289" i="17"/>
  <c r="R289" i="17"/>
  <c r="AA287" i="17"/>
  <c r="Z287" i="17"/>
  <c r="Y287" i="17"/>
  <c r="X287" i="17"/>
  <c r="W287" i="17"/>
  <c r="V287" i="17"/>
  <c r="U287" i="17"/>
  <c r="T287" i="17"/>
  <c r="S287" i="17"/>
  <c r="R287" i="17"/>
  <c r="AA285" i="17"/>
  <c r="Z285" i="17"/>
  <c r="Y285" i="17"/>
  <c r="X285" i="17"/>
  <c r="W285" i="17"/>
  <c r="V285" i="17"/>
  <c r="U285" i="17"/>
  <c r="T285" i="17"/>
  <c r="S285" i="17"/>
  <c r="R285" i="17"/>
  <c r="AA283" i="17"/>
  <c r="Z283" i="17"/>
  <c r="Y283" i="17"/>
  <c r="X283" i="17"/>
  <c r="W283" i="17"/>
  <c r="V283" i="17"/>
  <c r="U283" i="17"/>
  <c r="T283" i="17"/>
  <c r="S283" i="17"/>
  <c r="R283" i="17"/>
  <c r="AA281" i="17"/>
  <c r="Z281" i="17"/>
  <c r="Y281" i="17"/>
  <c r="X281" i="17"/>
  <c r="W281" i="17"/>
  <c r="V281" i="17"/>
  <c r="U281" i="17"/>
  <c r="T281" i="17"/>
  <c r="S281" i="17"/>
  <c r="R281" i="17"/>
  <c r="AA279" i="17"/>
  <c r="Z279" i="17"/>
  <c r="Y279" i="17"/>
  <c r="X279" i="17"/>
  <c r="W279" i="17"/>
  <c r="V279" i="17"/>
  <c r="U279" i="17"/>
  <c r="T279" i="17"/>
  <c r="S279" i="17"/>
  <c r="R279" i="17"/>
  <c r="AA277" i="17"/>
  <c r="Z277" i="17"/>
  <c r="Y277" i="17"/>
  <c r="X277" i="17"/>
  <c r="W277" i="17"/>
  <c r="V277" i="17"/>
  <c r="U277" i="17"/>
  <c r="T277" i="17"/>
  <c r="S277" i="17"/>
  <c r="R277" i="17"/>
  <c r="AA275" i="17"/>
  <c r="Z275" i="17"/>
  <c r="Y275" i="17"/>
  <c r="X275" i="17"/>
  <c r="W275" i="17"/>
  <c r="V275" i="17"/>
  <c r="U275" i="17"/>
  <c r="T275" i="17"/>
  <c r="S275" i="17"/>
  <c r="R275" i="17"/>
  <c r="AA273" i="17"/>
  <c r="Z273" i="17"/>
  <c r="Y273" i="17"/>
  <c r="X273" i="17"/>
  <c r="W273" i="17"/>
  <c r="V273" i="17"/>
  <c r="U273" i="17"/>
  <c r="T273" i="17"/>
  <c r="S273" i="17"/>
  <c r="R273" i="17"/>
  <c r="AA271" i="17"/>
  <c r="Z271" i="17"/>
  <c r="Y271" i="17"/>
  <c r="X271" i="17"/>
  <c r="W271" i="17"/>
  <c r="V271" i="17"/>
  <c r="U271" i="17"/>
  <c r="T271" i="17"/>
  <c r="S271" i="17"/>
  <c r="R271" i="17"/>
  <c r="AA269" i="17"/>
  <c r="Z269" i="17"/>
  <c r="Y269" i="17"/>
  <c r="X269" i="17"/>
  <c r="W269" i="17"/>
  <c r="V269" i="17"/>
  <c r="U269" i="17"/>
  <c r="T269" i="17"/>
  <c r="S269" i="17"/>
  <c r="R269" i="17"/>
  <c r="AA267" i="17"/>
  <c r="Z267" i="17"/>
  <c r="Y267" i="17"/>
  <c r="X267" i="17"/>
  <c r="W267" i="17"/>
  <c r="V267" i="17"/>
  <c r="U267" i="17"/>
  <c r="T267" i="17"/>
  <c r="S267" i="17"/>
  <c r="R267" i="17"/>
  <c r="AA265" i="17"/>
  <c r="Z265" i="17"/>
  <c r="Y265" i="17"/>
  <c r="X265" i="17"/>
  <c r="W265" i="17"/>
  <c r="V265" i="17"/>
  <c r="U265" i="17"/>
  <c r="T265" i="17"/>
  <c r="S265" i="17"/>
  <c r="R265" i="17"/>
  <c r="AA263" i="17"/>
  <c r="Z263" i="17"/>
  <c r="Y263" i="17"/>
  <c r="X263" i="17"/>
  <c r="W263" i="17"/>
  <c r="V263" i="17"/>
  <c r="U263" i="17"/>
  <c r="T263" i="17"/>
  <c r="S263" i="17"/>
  <c r="R263" i="17"/>
  <c r="AA261" i="17"/>
  <c r="Z261" i="17"/>
  <c r="Y261" i="17"/>
  <c r="X261" i="17"/>
  <c r="W261" i="17"/>
  <c r="V261" i="17"/>
  <c r="U261" i="17"/>
  <c r="T261" i="17"/>
  <c r="S261" i="17"/>
  <c r="R261" i="17"/>
  <c r="AA259" i="17"/>
  <c r="Z259" i="17"/>
  <c r="Y259" i="17"/>
  <c r="X259" i="17"/>
  <c r="W259" i="17"/>
  <c r="V259" i="17"/>
  <c r="U259" i="17"/>
  <c r="T259" i="17"/>
  <c r="S259" i="17"/>
  <c r="R259" i="17"/>
  <c r="AA257" i="17"/>
  <c r="Z257" i="17"/>
  <c r="Y257" i="17"/>
  <c r="X257" i="17"/>
  <c r="W257" i="17"/>
  <c r="V257" i="17"/>
  <c r="U257" i="17"/>
  <c r="T257" i="17"/>
  <c r="S257" i="17"/>
  <c r="R257" i="17"/>
  <c r="AA255" i="17"/>
  <c r="Z255" i="17"/>
  <c r="Y255" i="17"/>
  <c r="X255" i="17"/>
  <c r="W255" i="17"/>
  <c r="V255" i="17"/>
  <c r="U255" i="17"/>
  <c r="T255" i="17"/>
  <c r="S255" i="17"/>
  <c r="R255" i="17"/>
  <c r="AA253" i="17"/>
  <c r="Z253" i="17"/>
  <c r="Y253" i="17"/>
  <c r="X253" i="17"/>
  <c r="W253" i="17"/>
  <c r="V253" i="17"/>
  <c r="U253" i="17"/>
  <c r="T253" i="17"/>
  <c r="S253" i="17"/>
  <c r="R253" i="17"/>
  <c r="AA251" i="17"/>
  <c r="Z251" i="17"/>
  <c r="Y251" i="17"/>
  <c r="X251" i="17"/>
  <c r="W251" i="17"/>
  <c r="V251" i="17"/>
  <c r="U251" i="17"/>
  <c r="T251" i="17"/>
  <c r="S251" i="17"/>
  <c r="R251" i="17"/>
  <c r="AA249" i="17"/>
  <c r="Z249" i="17"/>
  <c r="Y249" i="17"/>
  <c r="X249" i="17"/>
  <c r="W249" i="17"/>
  <c r="V249" i="17"/>
  <c r="U249" i="17"/>
  <c r="T249" i="17"/>
  <c r="S249" i="17"/>
  <c r="R249" i="17"/>
  <c r="AA247" i="17"/>
  <c r="Z247" i="17"/>
  <c r="Y247" i="17"/>
  <c r="X247" i="17"/>
  <c r="W247" i="17"/>
  <c r="V247" i="17"/>
  <c r="U247" i="17"/>
  <c r="T247" i="17"/>
  <c r="S247" i="17"/>
  <c r="R247" i="17"/>
  <c r="AA245" i="17"/>
  <c r="Z245" i="17"/>
  <c r="Y245" i="17"/>
  <c r="X245" i="17"/>
  <c r="W245" i="17"/>
  <c r="V245" i="17"/>
  <c r="U245" i="17"/>
  <c r="T245" i="17"/>
  <c r="S245" i="17"/>
  <c r="R245" i="17"/>
  <c r="AA243" i="17"/>
  <c r="Z243" i="17"/>
  <c r="Y243" i="17"/>
  <c r="X243" i="17"/>
  <c r="W243" i="17"/>
  <c r="V243" i="17"/>
  <c r="U243" i="17"/>
  <c r="T243" i="17"/>
  <c r="S243" i="17"/>
  <c r="R243" i="17"/>
  <c r="AA241" i="17"/>
  <c r="Z241" i="17"/>
  <c r="Y241" i="17"/>
  <c r="X241" i="17"/>
  <c r="W241" i="17"/>
  <c r="V241" i="17"/>
  <c r="U241" i="17"/>
  <c r="T241" i="17"/>
  <c r="S241" i="17"/>
  <c r="R241" i="17"/>
  <c r="AA239" i="17"/>
  <c r="Z239" i="17"/>
  <c r="Y239" i="17"/>
  <c r="X239" i="17"/>
  <c r="W239" i="17"/>
  <c r="V239" i="17"/>
  <c r="U239" i="17"/>
  <c r="T239" i="17"/>
  <c r="S239" i="17"/>
  <c r="R239" i="17"/>
  <c r="AA237" i="17"/>
  <c r="Z237" i="17"/>
  <c r="Y237" i="17"/>
  <c r="X237" i="17"/>
  <c r="W237" i="17"/>
  <c r="V237" i="17"/>
  <c r="U237" i="17"/>
  <c r="T237" i="17"/>
  <c r="S237" i="17"/>
  <c r="R237" i="17"/>
  <c r="AA235" i="17"/>
  <c r="Z235" i="17"/>
  <c r="Y235" i="17"/>
  <c r="X235" i="17"/>
  <c r="W235" i="17"/>
  <c r="V235" i="17"/>
  <c r="U235" i="17"/>
  <c r="T235" i="17"/>
  <c r="S235" i="17"/>
  <c r="R235" i="17"/>
  <c r="AA233" i="17"/>
  <c r="Z233" i="17"/>
  <c r="Y233" i="17"/>
  <c r="X233" i="17"/>
  <c r="W233" i="17"/>
  <c r="V233" i="17"/>
  <c r="U233" i="17"/>
  <c r="T233" i="17"/>
  <c r="S233" i="17"/>
  <c r="R233" i="17"/>
  <c r="AA231" i="17"/>
  <c r="Z231" i="17"/>
  <c r="Y231" i="17"/>
  <c r="X231" i="17"/>
  <c r="W231" i="17"/>
  <c r="V231" i="17"/>
  <c r="U231" i="17"/>
  <c r="T231" i="17"/>
  <c r="S231" i="17"/>
  <c r="R231" i="17"/>
  <c r="AA229" i="17"/>
  <c r="Z229" i="17"/>
  <c r="Y229" i="17"/>
  <c r="X229" i="17"/>
  <c r="W229" i="17"/>
  <c r="V229" i="17"/>
  <c r="U229" i="17"/>
  <c r="T229" i="17"/>
  <c r="S229" i="17"/>
  <c r="R229" i="17"/>
  <c r="AA227" i="17"/>
  <c r="Z227" i="17"/>
  <c r="Y227" i="17"/>
  <c r="X227" i="17"/>
  <c r="W227" i="17"/>
  <c r="V227" i="17"/>
  <c r="U227" i="17"/>
  <c r="T227" i="17"/>
  <c r="S227" i="17"/>
  <c r="R227" i="17"/>
  <c r="AA225" i="17"/>
  <c r="Z225" i="17"/>
  <c r="Y225" i="17"/>
  <c r="X225" i="17"/>
  <c r="W225" i="17"/>
  <c r="V225" i="17"/>
  <c r="U225" i="17"/>
  <c r="T225" i="17"/>
  <c r="S225" i="17"/>
  <c r="R225" i="17"/>
  <c r="AA223" i="17"/>
  <c r="Z223" i="17"/>
  <c r="Y223" i="17"/>
  <c r="X223" i="17"/>
  <c r="W223" i="17"/>
  <c r="V223" i="17"/>
  <c r="U223" i="17"/>
  <c r="T223" i="17"/>
  <c r="S223" i="17"/>
  <c r="R223" i="17"/>
  <c r="AA221" i="17"/>
  <c r="Z221" i="17"/>
  <c r="Y221" i="17"/>
  <c r="X221" i="17"/>
  <c r="W221" i="17"/>
  <c r="V221" i="17"/>
  <c r="U221" i="17"/>
  <c r="T221" i="17"/>
  <c r="S221" i="17"/>
  <c r="R221" i="17"/>
  <c r="AA219" i="17"/>
  <c r="Z219" i="17"/>
  <c r="Y219" i="17"/>
  <c r="X219" i="17"/>
  <c r="W219" i="17"/>
  <c r="V219" i="17"/>
  <c r="U219" i="17"/>
  <c r="T219" i="17"/>
  <c r="S219" i="17"/>
  <c r="R219" i="17"/>
  <c r="AA217" i="17"/>
  <c r="Z217" i="17"/>
  <c r="Y217" i="17"/>
  <c r="X217" i="17"/>
  <c r="W217" i="17"/>
  <c r="V217" i="17"/>
  <c r="U217" i="17"/>
  <c r="T217" i="17"/>
  <c r="S217" i="17"/>
  <c r="R217" i="17"/>
  <c r="AA215" i="17"/>
  <c r="Z215" i="17"/>
  <c r="Y215" i="17"/>
  <c r="X215" i="17"/>
  <c r="W215" i="17"/>
  <c r="V215" i="17"/>
  <c r="U215" i="17"/>
  <c r="T215" i="17"/>
  <c r="S215" i="17"/>
  <c r="R215" i="17"/>
  <c r="AA211" i="17"/>
  <c r="Z211" i="17"/>
  <c r="Y211" i="17"/>
  <c r="X211" i="17"/>
  <c r="W211" i="17"/>
  <c r="V211" i="17"/>
  <c r="U211" i="17"/>
  <c r="T211" i="17"/>
  <c r="S211" i="17"/>
  <c r="R211" i="17"/>
  <c r="AA209" i="17"/>
  <c r="Z209" i="17"/>
  <c r="Y209" i="17"/>
  <c r="X209" i="17"/>
  <c r="W209" i="17"/>
  <c r="V209" i="17"/>
  <c r="U209" i="17"/>
  <c r="T209" i="17"/>
  <c r="S209" i="17"/>
  <c r="R209" i="17"/>
  <c r="AA205" i="17"/>
  <c r="Z205" i="17"/>
  <c r="Y205" i="17"/>
  <c r="X205" i="17"/>
  <c r="W205" i="17"/>
  <c r="V205" i="17"/>
  <c r="U205" i="17"/>
  <c r="T205" i="17"/>
  <c r="S205" i="17"/>
  <c r="R205" i="17"/>
  <c r="AA203" i="17"/>
  <c r="Z203" i="17"/>
  <c r="Y203" i="17"/>
  <c r="X203" i="17"/>
  <c r="W203" i="17"/>
  <c r="V203" i="17"/>
  <c r="U203" i="17"/>
  <c r="T203" i="17"/>
  <c r="S203" i="17"/>
  <c r="R203" i="17"/>
  <c r="AA201" i="17"/>
  <c r="Z201" i="17"/>
  <c r="Y201" i="17"/>
  <c r="X201" i="17"/>
  <c r="W201" i="17"/>
  <c r="V201" i="17"/>
  <c r="U201" i="17"/>
  <c r="T201" i="17"/>
  <c r="S201" i="17"/>
  <c r="R201" i="17"/>
  <c r="AA199" i="17"/>
  <c r="Z199" i="17"/>
  <c r="Y199" i="17"/>
  <c r="X199" i="17"/>
  <c r="W199" i="17"/>
  <c r="V199" i="17"/>
  <c r="U199" i="17"/>
  <c r="T199" i="17"/>
  <c r="S199" i="17"/>
  <c r="R199" i="17"/>
  <c r="AA197" i="17"/>
  <c r="Z197" i="17"/>
  <c r="Y197" i="17"/>
  <c r="X197" i="17"/>
  <c r="W197" i="17"/>
  <c r="V197" i="17"/>
  <c r="U197" i="17"/>
  <c r="T197" i="17"/>
  <c r="S197" i="17"/>
  <c r="R197" i="17"/>
  <c r="AA195" i="17"/>
  <c r="Z195" i="17"/>
  <c r="Y195" i="17"/>
  <c r="X195" i="17"/>
  <c r="W195" i="17"/>
  <c r="V195" i="17"/>
  <c r="U195" i="17"/>
  <c r="T195" i="17"/>
  <c r="S195" i="17"/>
  <c r="R195" i="17"/>
  <c r="AA193" i="17"/>
  <c r="Z193" i="17"/>
  <c r="Y193" i="17"/>
  <c r="X193" i="17"/>
  <c r="W193" i="17"/>
  <c r="V193" i="17"/>
  <c r="U193" i="17"/>
  <c r="T193" i="17"/>
  <c r="S193" i="17"/>
  <c r="R193" i="17"/>
  <c r="AA191" i="17"/>
  <c r="Z191" i="17"/>
  <c r="Y191" i="17"/>
  <c r="X191" i="17"/>
  <c r="W191" i="17"/>
  <c r="V191" i="17"/>
  <c r="U191" i="17"/>
  <c r="T191" i="17"/>
  <c r="S191" i="17"/>
  <c r="R191" i="17"/>
  <c r="AA189" i="17"/>
  <c r="Z189" i="17"/>
  <c r="Y189" i="17"/>
  <c r="X189" i="17"/>
  <c r="W189" i="17"/>
  <c r="V189" i="17"/>
  <c r="U189" i="17"/>
  <c r="T189" i="17"/>
  <c r="S189" i="17"/>
  <c r="R189" i="17"/>
  <c r="AA187" i="17"/>
  <c r="Z187" i="17"/>
  <c r="Y187" i="17"/>
  <c r="X187" i="17"/>
  <c r="W187" i="17"/>
  <c r="V187" i="17"/>
  <c r="U187" i="17"/>
  <c r="T187" i="17"/>
  <c r="S187" i="17"/>
  <c r="R187" i="17"/>
  <c r="AA185" i="17"/>
  <c r="Z185" i="17"/>
  <c r="Y185" i="17"/>
  <c r="X185" i="17"/>
  <c r="W185" i="17"/>
  <c r="V185" i="17"/>
  <c r="U185" i="17"/>
  <c r="T185" i="17"/>
  <c r="S185" i="17"/>
  <c r="R185" i="17"/>
  <c r="AA183" i="17"/>
  <c r="Z183" i="17"/>
  <c r="Y183" i="17"/>
  <c r="X183" i="17"/>
  <c r="W183" i="17"/>
  <c r="V183" i="17"/>
  <c r="U183" i="17"/>
  <c r="T183" i="17"/>
  <c r="S183" i="17"/>
  <c r="R183" i="17"/>
  <c r="AA181" i="17"/>
  <c r="Z181" i="17"/>
  <c r="Y181" i="17"/>
  <c r="X181" i="17"/>
  <c r="W181" i="17"/>
  <c r="V181" i="17"/>
  <c r="U181" i="17"/>
  <c r="T181" i="17"/>
  <c r="S181" i="17"/>
  <c r="R181" i="17"/>
  <c r="AA179" i="17"/>
  <c r="Z179" i="17"/>
  <c r="Y179" i="17"/>
  <c r="X179" i="17"/>
  <c r="W179" i="17"/>
  <c r="V179" i="17"/>
  <c r="U179" i="17"/>
  <c r="T179" i="17"/>
  <c r="S179" i="17"/>
  <c r="R179" i="17"/>
  <c r="AA177" i="17"/>
  <c r="Z177" i="17"/>
  <c r="Y177" i="17"/>
  <c r="X177" i="17"/>
  <c r="W177" i="17"/>
  <c r="V177" i="17"/>
  <c r="U177" i="17"/>
  <c r="T177" i="17"/>
  <c r="S177" i="17"/>
  <c r="R177" i="17"/>
  <c r="AA175" i="17"/>
  <c r="Z175" i="17"/>
  <c r="Y175" i="17"/>
  <c r="X175" i="17"/>
  <c r="W175" i="17"/>
  <c r="V175" i="17"/>
  <c r="U175" i="17"/>
  <c r="T175" i="17"/>
  <c r="S175" i="17"/>
  <c r="R175" i="17"/>
  <c r="AA173" i="17"/>
  <c r="Z173" i="17"/>
  <c r="Y173" i="17"/>
  <c r="X173" i="17"/>
  <c r="W173" i="17"/>
  <c r="V173" i="17"/>
  <c r="U173" i="17"/>
  <c r="T173" i="17"/>
  <c r="S173" i="17"/>
  <c r="R173" i="17"/>
  <c r="AA171" i="17"/>
  <c r="Z171" i="17"/>
  <c r="Y171" i="17"/>
  <c r="X171" i="17"/>
  <c r="W171" i="17"/>
  <c r="V171" i="17"/>
  <c r="U171" i="17"/>
  <c r="T171" i="17"/>
  <c r="S171" i="17"/>
  <c r="R171" i="17"/>
  <c r="AA169" i="17"/>
  <c r="Z169" i="17"/>
  <c r="Y169" i="17"/>
  <c r="X169" i="17"/>
  <c r="W169" i="17"/>
  <c r="V169" i="17"/>
  <c r="U169" i="17"/>
  <c r="T169" i="17"/>
  <c r="S169" i="17"/>
  <c r="R169" i="17"/>
  <c r="AA167" i="17"/>
  <c r="Z167" i="17"/>
  <c r="Y167" i="17"/>
  <c r="X167" i="17"/>
  <c r="W167" i="17"/>
  <c r="V167" i="17"/>
  <c r="U167" i="17"/>
  <c r="T167" i="17"/>
  <c r="S167" i="17"/>
  <c r="R167" i="17"/>
  <c r="AA165" i="17"/>
  <c r="Z165" i="17"/>
  <c r="Y165" i="17"/>
  <c r="X165" i="17"/>
  <c r="W165" i="17"/>
  <c r="V165" i="17"/>
  <c r="U165" i="17"/>
  <c r="T165" i="17"/>
  <c r="S165" i="17"/>
  <c r="R165" i="17"/>
  <c r="AA163" i="17"/>
  <c r="Z163" i="17"/>
  <c r="Y163" i="17"/>
  <c r="X163" i="17"/>
  <c r="W163" i="17"/>
  <c r="V163" i="17"/>
  <c r="U163" i="17"/>
  <c r="T163" i="17"/>
  <c r="S163" i="17"/>
  <c r="R163" i="17"/>
  <c r="AA161" i="17"/>
  <c r="Z161" i="17"/>
  <c r="Y161" i="17"/>
  <c r="X161" i="17"/>
  <c r="W161" i="17"/>
  <c r="V161" i="17"/>
  <c r="U161" i="17"/>
  <c r="T161" i="17"/>
  <c r="S161" i="17"/>
  <c r="R161" i="17"/>
  <c r="AA159" i="17"/>
  <c r="Z159" i="17"/>
  <c r="Y159" i="17"/>
  <c r="X159" i="17"/>
  <c r="W159" i="17"/>
  <c r="V159" i="17"/>
  <c r="U159" i="17"/>
  <c r="T159" i="17"/>
  <c r="S159" i="17"/>
  <c r="R159" i="17"/>
  <c r="AA157" i="17"/>
  <c r="Z157" i="17"/>
  <c r="Y157" i="17"/>
  <c r="X157" i="17"/>
  <c r="W157" i="17"/>
  <c r="V157" i="17"/>
  <c r="U157" i="17"/>
  <c r="T157" i="17"/>
  <c r="S157" i="17"/>
  <c r="R157" i="17"/>
  <c r="AA155" i="17"/>
  <c r="Z155" i="17"/>
  <c r="Y155" i="17"/>
  <c r="X155" i="17"/>
  <c r="W155" i="17"/>
  <c r="V155" i="17"/>
  <c r="U155" i="17"/>
  <c r="T155" i="17"/>
  <c r="S155" i="17"/>
  <c r="R155" i="17"/>
  <c r="AA153" i="17"/>
  <c r="Z153" i="17"/>
  <c r="Y153" i="17"/>
  <c r="X153" i="17"/>
  <c r="W153" i="17"/>
  <c r="V153" i="17"/>
  <c r="U153" i="17"/>
  <c r="T153" i="17"/>
  <c r="S153" i="17"/>
  <c r="R153" i="17"/>
  <c r="AA151" i="17"/>
  <c r="Z151" i="17"/>
  <c r="Y151" i="17"/>
  <c r="X151" i="17"/>
  <c r="W151" i="17"/>
  <c r="V151" i="17"/>
  <c r="U151" i="17"/>
  <c r="T151" i="17"/>
  <c r="S151" i="17"/>
  <c r="R151" i="17"/>
  <c r="AA149" i="17"/>
  <c r="Z149" i="17"/>
  <c r="Y149" i="17"/>
  <c r="X149" i="17"/>
  <c r="W149" i="17"/>
  <c r="V149" i="17"/>
  <c r="U149" i="17"/>
  <c r="T149" i="17"/>
  <c r="S149" i="17"/>
  <c r="R149" i="17"/>
  <c r="AA147" i="17"/>
  <c r="Z147" i="17"/>
  <c r="Y147" i="17"/>
  <c r="X147" i="17"/>
  <c r="W147" i="17"/>
  <c r="V147" i="17"/>
  <c r="U147" i="17"/>
  <c r="T147" i="17"/>
  <c r="S147" i="17"/>
  <c r="R147" i="17"/>
  <c r="AA145" i="17"/>
  <c r="Z145" i="17"/>
  <c r="Y145" i="17"/>
  <c r="X145" i="17"/>
  <c r="W145" i="17"/>
  <c r="V145" i="17"/>
  <c r="U145" i="17"/>
  <c r="T145" i="17"/>
  <c r="S145" i="17"/>
  <c r="R145" i="17"/>
  <c r="AA143" i="17"/>
  <c r="Z143" i="17"/>
  <c r="Y143" i="17"/>
  <c r="X143" i="17"/>
  <c r="W143" i="17"/>
  <c r="V143" i="17"/>
  <c r="U143" i="17"/>
  <c r="T143" i="17"/>
  <c r="S143" i="17"/>
  <c r="R143" i="17"/>
  <c r="AA141" i="17"/>
  <c r="Z141" i="17"/>
  <c r="Y141" i="17"/>
  <c r="X141" i="17"/>
  <c r="W141" i="17"/>
  <c r="V141" i="17"/>
  <c r="U141" i="17"/>
  <c r="T141" i="17"/>
  <c r="S141" i="17"/>
  <c r="R141" i="17"/>
  <c r="AA139" i="17"/>
  <c r="Z139" i="17"/>
  <c r="Y139" i="17"/>
  <c r="X139" i="17"/>
  <c r="W139" i="17"/>
  <c r="V139" i="17"/>
  <c r="U139" i="17"/>
  <c r="T139" i="17"/>
  <c r="S139" i="17"/>
  <c r="R139" i="17"/>
  <c r="AA137" i="17"/>
  <c r="Z137" i="17"/>
  <c r="Y137" i="17"/>
  <c r="X137" i="17"/>
  <c r="W137" i="17"/>
  <c r="V137" i="17"/>
  <c r="U137" i="17"/>
  <c r="T137" i="17"/>
  <c r="S137" i="17"/>
  <c r="R137" i="17"/>
  <c r="AA135" i="17"/>
  <c r="Z135" i="17"/>
  <c r="Y135" i="17"/>
  <c r="X135" i="17"/>
  <c r="W135" i="17"/>
  <c r="V135" i="17"/>
  <c r="U135" i="17"/>
  <c r="T135" i="17"/>
  <c r="S135" i="17"/>
  <c r="R135" i="17"/>
  <c r="AA133" i="17"/>
  <c r="Z133" i="17"/>
  <c r="Y133" i="17"/>
  <c r="X133" i="17"/>
  <c r="W133" i="17"/>
  <c r="V133" i="17"/>
  <c r="U133" i="17"/>
  <c r="T133" i="17"/>
  <c r="S133" i="17"/>
  <c r="R133" i="17"/>
  <c r="AA131" i="17"/>
  <c r="Z131" i="17"/>
  <c r="Y131" i="17"/>
  <c r="X131" i="17"/>
  <c r="W131" i="17"/>
  <c r="V131" i="17"/>
  <c r="U131" i="17"/>
  <c r="T131" i="17"/>
  <c r="S131" i="17"/>
  <c r="R131" i="17"/>
  <c r="AA129" i="17"/>
  <c r="Z129" i="17"/>
  <c r="Y129" i="17"/>
  <c r="X129" i="17"/>
  <c r="W129" i="17"/>
  <c r="V129" i="17"/>
  <c r="U129" i="17"/>
  <c r="T129" i="17"/>
  <c r="S129" i="17"/>
  <c r="R129" i="17"/>
  <c r="AA127" i="17"/>
  <c r="Z127" i="17"/>
  <c r="Y127" i="17"/>
  <c r="X127" i="17"/>
  <c r="W127" i="17"/>
  <c r="V127" i="17"/>
  <c r="U127" i="17"/>
  <c r="T127" i="17"/>
  <c r="S127" i="17"/>
  <c r="R127" i="17"/>
  <c r="AA125" i="17"/>
  <c r="Z125" i="17"/>
  <c r="Y125" i="17"/>
  <c r="X125" i="17"/>
  <c r="W125" i="17"/>
  <c r="V125" i="17"/>
  <c r="U125" i="17"/>
  <c r="T125" i="17"/>
  <c r="S125" i="17"/>
  <c r="R125" i="17"/>
  <c r="AA123" i="17"/>
  <c r="Z123" i="17"/>
  <c r="Y123" i="17"/>
  <c r="X123" i="17"/>
  <c r="W123" i="17"/>
  <c r="V123" i="17"/>
  <c r="U123" i="17"/>
  <c r="T123" i="17"/>
  <c r="S123" i="17"/>
  <c r="R123" i="17"/>
  <c r="AA121" i="17"/>
  <c r="Z121" i="17"/>
  <c r="Y121" i="17"/>
  <c r="X121" i="17"/>
  <c r="W121" i="17"/>
  <c r="V121" i="17"/>
  <c r="U121" i="17"/>
  <c r="T121" i="17"/>
  <c r="S121" i="17"/>
  <c r="R121" i="17"/>
  <c r="AA119" i="17"/>
  <c r="Z119" i="17"/>
  <c r="Y119" i="17"/>
  <c r="X119" i="17"/>
  <c r="W119" i="17"/>
  <c r="V119" i="17"/>
  <c r="U119" i="17"/>
  <c r="T119" i="17"/>
  <c r="S119" i="17"/>
  <c r="R119" i="17"/>
  <c r="AA117" i="17"/>
  <c r="Z117" i="17"/>
  <c r="Y117" i="17"/>
  <c r="X117" i="17"/>
  <c r="W117" i="17"/>
  <c r="V117" i="17"/>
  <c r="U117" i="17"/>
  <c r="T117" i="17"/>
  <c r="S117" i="17"/>
  <c r="R117" i="17"/>
  <c r="AA115" i="17"/>
  <c r="Z115" i="17"/>
  <c r="Y115" i="17"/>
  <c r="X115" i="17"/>
  <c r="W115" i="17"/>
  <c r="V115" i="17"/>
  <c r="U115" i="17"/>
  <c r="T115" i="17"/>
  <c r="S115" i="17"/>
  <c r="R115" i="17"/>
  <c r="AA113" i="17"/>
  <c r="Z113" i="17"/>
  <c r="Y113" i="17"/>
  <c r="X113" i="17"/>
  <c r="W113" i="17"/>
  <c r="V113" i="17"/>
  <c r="U113" i="17"/>
  <c r="T113" i="17"/>
  <c r="S113" i="17"/>
  <c r="R113" i="17"/>
  <c r="AA111" i="17"/>
  <c r="Z111" i="17"/>
  <c r="Y111" i="17"/>
  <c r="X111" i="17"/>
  <c r="W111" i="17"/>
  <c r="V111" i="17"/>
  <c r="U111" i="17"/>
  <c r="T111" i="17"/>
  <c r="S111" i="17"/>
  <c r="R111" i="17"/>
  <c r="AA109" i="17"/>
  <c r="Z109" i="17"/>
  <c r="Y109" i="17"/>
  <c r="X109" i="17"/>
  <c r="W109" i="17"/>
  <c r="V109" i="17"/>
  <c r="U109" i="17"/>
  <c r="T109" i="17"/>
  <c r="S109" i="17"/>
  <c r="R109" i="17"/>
  <c r="AA107" i="17"/>
  <c r="Z107" i="17"/>
  <c r="Y107" i="17"/>
  <c r="X107" i="17"/>
  <c r="W107" i="17"/>
  <c r="V107" i="17"/>
  <c r="U107" i="17"/>
  <c r="T107" i="17"/>
  <c r="S107" i="17"/>
  <c r="R107" i="17"/>
  <c r="AA105" i="17"/>
  <c r="Z105" i="17"/>
  <c r="Y105" i="17"/>
  <c r="X105" i="17"/>
  <c r="W105" i="17"/>
  <c r="V105" i="17"/>
  <c r="U105" i="17"/>
  <c r="T105" i="17"/>
  <c r="S105" i="17"/>
  <c r="R105" i="17"/>
  <c r="AA103" i="17"/>
  <c r="Z103" i="17"/>
  <c r="Y103" i="17"/>
  <c r="X103" i="17"/>
  <c r="W103" i="17"/>
  <c r="V103" i="17"/>
  <c r="U103" i="17"/>
  <c r="T103" i="17"/>
  <c r="S103" i="17"/>
  <c r="R103" i="17"/>
  <c r="AA101" i="17"/>
  <c r="Z101" i="17"/>
  <c r="Y101" i="17"/>
  <c r="X101" i="17"/>
  <c r="W101" i="17"/>
  <c r="V101" i="17"/>
  <c r="U101" i="17"/>
  <c r="T101" i="17"/>
  <c r="S101" i="17"/>
  <c r="R101" i="17"/>
  <c r="AA99" i="17"/>
  <c r="Z99" i="17"/>
  <c r="Y99" i="17"/>
  <c r="X99" i="17"/>
  <c r="W99" i="17"/>
  <c r="V99" i="17"/>
  <c r="U99" i="17"/>
  <c r="T99" i="17"/>
  <c r="S99" i="17"/>
  <c r="R99" i="17"/>
  <c r="AA97" i="17"/>
  <c r="Z97" i="17"/>
  <c r="Y97" i="17"/>
  <c r="X97" i="17"/>
  <c r="W97" i="17"/>
  <c r="V97" i="17"/>
  <c r="U97" i="17"/>
  <c r="T97" i="17"/>
  <c r="S97" i="17"/>
  <c r="R97" i="17"/>
  <c r="AA95" i="17"/>
  <c r="Z95" i="17"/>
  <c r="Y95" i="17"/>
  <c r="X95" i="17"/>
  <c r="W95" i="17"/>
  <c r="V95" i="17"/>
  <c r="U95" i="17"/>
  <c r="T95" i="17"/>
  <c r="S95" i="17"/>
  <c r="R95" i="17"/>
  <c r="AA93" i="17"/>
  <c r="Z93" i="17"/>
  <c r="Y93" i="17"/>
  <c r="X93" i="17"/>
  <c r="W93" i="17"/>
  <c r="V93" i="17"/>
  <c r="U93" i="17"/>
  <c r="T93" i="17"/>
  <c r="S93" i="17"/>
  <c r="R93" i="17"/>
  <c r="AA91" i="17"/>
  <c r="Z91" i="17"/>
  <c r="Y91" i="17"/>
  <c r="X91" i="17"/>
  <c r="W91" i="17"/>
  <c r="V91" i="17"/>
  <c r="U91" i="17"/>
  <c r="T91" i="17"/>
  <c r="S91" i="17"/>
  <c r="R91" i="17"/>
  <c r="AA89" i="17"/>
  <c r="Z89" i="17"/>
  <c r="Y89" i="17"/>
  <c r="X89" i="17"/>
  <c r="W89" i="17"/>
  <c r="V89" i="17"/>
  <c r="U89" i="17"/>
  <c r="T89" i="17"/>
  <c r="S89" i="17"/>
  <c r="R89" i="17"/>
  <c r="AA87" i="17"/>
  <c r="Z87" i="17"/>
  <c r="Y87" i="17"/>
  <c r="X87" i="17"/>
  <c r="W87" i="17"/>
  <c r="V87" i="17"/>
  <c r="U87" i="17"/>
  <c r="T87" i="17"/>
  <c r="S87" i="17"/>
  <c r="R87" i="17"/>
  <c r="AA85" i="17"/>
  <c r="Z85" i="17"/>
  <c r="Y85" i="17"/>
  <c r="X85" i="17"/>
  <c r="W85" i="17"/>
  <c r="V85" i="17"/>
  <c r="U85" i="17"/>
  <c r="T85" i="17"/>
  <c r="S85" i="17"/>
  <c r="R85" i="17"/>
  <c r="AA83" i="17"/>
  <c r="Z83" i="17"/>
  <c r="Y83" i="17"/>
  <c r="X83" i="17"/>
  <c r="W83" i="17"/>
  <c r="V83" i="17"/>
  <c r="U83" i="17"/>
  <c r="T83" i="17"/>
  <c r="S83" i="17"/>
  <c r="R83" i="17"/>
  <c r="AA81" i="17"/>
  <c r="Z81" i="17"/>
  <c r="Y81" i="17"/>
  <c r="X81" i="17"/>
  <c r="W81" i="17"/>
  <c r="V81" i="17"/>
  <c r="U81" i="17"/>
  <c r="T81" i="17"/>
  <c r="S81" i="17"/>
  <c r="R81" i="17"/>
  <c r="AA79" i="17"/>
  <c r="Z79" i="17"/>
  <c r="Y79" i="17"/>
  <c r="X79" i="17"/>
  <c r="W79" i="17"/>
  <c r="V79" i="17"/>
  <c r="U79" i="17"/>
  <c r="T79" i="17"/>
  <c r="S79" i="17"/>
  <c r="R79" i="17"/>
  <c r="AA77" i="17"/>
  <c r="Z77" i="17"/>
  <c r="Y77" i="17"/>
  <c r="X77" i="17"/>
  <c r="W77" i="17"/>
  <c r="V77" i="17"/>
  <c r="U77" i="17"/>
  <c r="T77" i="17"/>
  <c r="S77" i="17"/>
  <c r="R77" i="17"/>
  <c r="AA75" i="17"/>
  <c r="Z75" i="17"/>
  <c r="Y75" i="17"/>
  <c r="X75" i="17"/>
  <c r="W75" i="17"/>
  <c r="V75" i="17"/>
  <c r="U75" i="17"/>
  <c r="T75" i="17"/>
  <c r="S75" i="17"/>
  <c r="R75" i="17"/>
  <c r="AA73" i="17"/>
  <c r="Z73" i="17"/>
  <c r="Y73" i="17"/>
  <c r="X73" i="17"/>
  <c r="W73" i="17"/>
  <c r="V73" i="17"/>
  <c r="U73" i="17"/>
  <c r="T73" i="17"/>
  <c r="S73" i="17"/>
  <c r="R73" i="17"/>
  <c r="AA71" i="17"/>
  <c r="Z71" i="17"/>
  <c r="Y71" i="17"/>
  <c r="X71" i="17"/>
  <c r="W71" i="17"/>
  <c r="V71" i="17"/>
  <c r="U71" i="17"/>
  <c r="T71" i="17"/>
  <c r="S71" i="17"/>
  <c r="R71" i="17"/>
  <c r="AA69" i="17"/>
  <c r="Z69" i="17"/>
  <c r="Y69" i="17"/>
  <c r="X69" i="17"/>
  <c r="W69" i="17"/>
  <c r="V69" i="17"/>
  <c r="U69" i="17"/>
  <c r="T69" i="17"/>
  <c r="S69" i="17"/>
  <c r="R69" i="17"/>
  <c r="AA67" i="17"/>
  <c r="Z67" i="17"/>
  <c r="Y67" i="17"/>
  <c r="X67" i="17"/>
  <c r="W67" i="17"/>
  <c r="V67" i="17"/>
  <c r="U67" i="17"/>
  <c r="T67" i="17"/>
  <c r="S67" i="17"/>
  <c r="R67" i="17"/>
  <c r="AA65" i="17"/>
  <c r="Z65" i="17"/>
  <c r="Y65" i="17"/>
  <c r="X65" i="17"/>
  <c r="W65" i="17"/>
  <c r="V65" i="17"/>
  <c r="U65" i="17"/>
  <c r="T65" i="17"/>
  <c r="S65" i="17"/>
  <c r="R65" i="17"/>
  <c r="AA63" i="17"/>
  <c r="Z63" i="17"/>
  <c r="Y63" i="17"/>
  <c r="X63" i="17"/>
  <c r="W63" i="17"/>
  <c r="V63" i="17"/>
  <c r="U63" i="17"/>
  <c r="T63" i="17"/>
  <c r="S63" i="17"/>
  <c r="R63" i="17"/>
  <c r="AA61" i="17"/>
  <c r="Z61" i="17"/>
  <c r="Y61" i="17"/>
  <c r="X61" i="17"/>
  <c r="W61" i="17"/>
  <c r="V61" i="17"/>
  <c r="U61" i="17"/>
  <c r="T61" i="17"/>
  <c r="S61" i="17"/>
  <c r="R61" i="17"/>
  <c r="AA59" i="17"/>
  <c r="Z59" i="17"/>
  <c r="Y59" i="17"/>
  <c r="X59" i="17"/>
  <c r="W59" i="17"/>
  <c r="V59" i="17"/>
  <c r="U59" i="17"/>
  <c r="T59" i="17"/>
  <c r="S59" i="17"/>
  <c r="R59" i="17"/>
  <c r="AA57" i="17"/>
  <c r="Z57" i="17"/>
  <c r="Y57" i="17"/>
  <c r="X57" i="17"/>
  <c r="W57" i="17"/>
  <c r="V57" i="17"/>
  <c r="U57" i="17"/>
  <c r="T57" i="17"/>
  <c r="S57" i="17"/>
  <c r="R57" i="17"/>
  <c r="AA55" i="17"/>
  <c r="Z55" i="17"/>
  <c r="Y55" i="17"/>
  <c r="X55" i="17"/>
  <c r="W55" i="17"/>
  <c r="V55" i="17"/>
  <c r="U55" i="17"/>
  <c r="T55" i="17"/>
  <c r="S55" i="17"/>
  <c r="R55" i="17"/>
  <c r="AA53" i="17"/>
  <c r="Z53" i="17"/>
  <c r="Y53" i="17"/>
  <c r="X53" i="17"/>
  <c r="W53" i="17"/>
  <c r="V53" i="17"/>
  <c r="U53" i="17"/>
  <c r="T53" i="17"/>
  <c r="S53" i="17"/>
  <c r="R53" i="17"/>
  <c r="AA51" i="17"/>
  <c r="Z51" i="17"/>
  <c r="Y51" i="17"/>
  <c r="X51" i="17"/>
  <c r="W51" i="17"/>
  <c r="V51" i="17"/>
  <c r="U51" i="17"/>
  <c r="T51" i="17"/>
  <c r="S51" i="17"/>
  <c r="R51" i="17"/>
  <c r="AA49" i="17"/>
  <c r="Z49" i="17"/>
  <c r="Y49" i="17"/>
  <c r="X49" i="17"/>
  <c r="W49" i="17"/>
  <c r="V49" i="17"/>
  <c r="U49" i="17"/>
  <c r="T49" i="17"/>
  <c r="S49" i="17"/>
  <c r="R49" i="17"/>
  <c r="AA47" i="17"/>
  <c r="Z47" i="17"/>
  <c r="Y47" i="17"/>
  <c r="X47" i="17"/>
  <c r="W47" i="17"/>
  <c r="V47" i="17"/>
  <c r="U47" i="17"/>
  <c r="T47" i="17"/>
  <c r="S47" i="17"/>
  <c r="R47" i="17"/>
  <c r="AA45" i="17"/>
  <c r="Z45" i="17"/>
  <c r="Y45" i="17"/>
  <c r="X45" i="17"/>
  <c r="W45" i="17"/>
  <c r="V45" i="17"/>
  <c r="U45" i="17"/>
  <c r="T45" i="17"/>
  <c r="S45" i="17"/>
  <c r="R45" i="17"/>
  <c r="AA43" i="17"/>
  <c r="Z43" i="17"/>
  <c r="Y43" i="17"/>
  <c r="X43" i="17"/>
  <c r="W43" i="17"/>
  <c r="V43" i="17"/>
  <c r="U43" i="17"/>
  <c r="T43" i="17"/>
  <c r="S43" i="17"/>
  <c r="R43" i="17"/>
  <c r="AA41" i="17"/>
  <c r="Z41" i="17"/>
  <c r="Y41" i="17"/>
  <c r="X41" i="17"/>
  <c r="W41" i="17"/>
  <c r="V41" i="17"/>
  <c r="U41" i="17"/>
  <c r="T41" i="17"/>
  <c r="S41" i="17"/>
  <c r="R41" i="17"/>
  <c r="AA39" i="17"/>
  <c r="Z39" i="17"/>
  <c r="Y39" i="17"/>
  <c r="X39" i="17"/>
  <c r="W39" i="17"/>
  <c r="V39" i="17"/>
  <c r="U39" i="17"/>
  <c r="T39" i="17"/>
  <c r="S39" i="17"/>
  <c r="R39" i="17"/>
  <c r="AA37" i="17"/>
  <c r="Z37" i="17"/>
  <c r="Y37" i="17"/>
  <c r="X37" i="17"/>
  <c r="W37" i="17"/>
  <c r="V37" i="17"/>
  <c r="U37" i="17"/>
  <c r="T37" i="17"/>
  <c r="S37" i="17"/>
  <c r="R37" i="17"/>
  <c r="AA35" i="17"/>
  <c r="Z35" i="17"/>
  <c r="Y35" i="17"/>
  <c r="X35" i="17"/>
  <c r="W35" i="17"/>
  <c r="V35" i="17"/>
  <c r="U35" i="17"/>
  <c r="T35" i="17"/>
  <c r="S35" i="17"/>
  <c r="R35" i="17"/>
  <c r="AA33" i="17"/>
  <c r="Z33" i="17"/>
  <c r="Y33" i="17"/>
  <c r="X33" i="17"/>
  <c r="W33" i="17"/>
  <c r="V33" i="17"/>
  <c r="U33" i="17"/>
  <c r="T33" i="17"/>
  <c r="S33" i="17"/>
  <c r="R33" i="17"/>
  <c r="AA31" i="17"/>
  <c r="Z31" i="17"/>
  <c r="Y31" i="17"/>
  <c r="X31" i="17"/>
  <c r="W31" i="17"/>
  <c r="V31" i="17"/>
  <c r="U31" i="17"/>
  <c r="T31" i="17"/>
  <c r="S31" i="17"/>
  <c r="R31" i="17"/>
  <c r="AA29" i="17"/>
  <c r="Z29" i="17"/>
  <c r="Y29" i="17"/>
  <c r="X29" i="17"/>
  <c r="W29" i="17"/>
  <c r="V29" i="17"/>
  <c r="U29" i="17"/>
  <c r="T29" i="17"/>
  <c r="S29" i="17"/>
  <c r="R29" i="17"/>
  <c r="AA27" i="17"/>
  <c r="Z27" i="17"/>
  <c r="Y27" i="17"/>
  <c r="X27" i="17"/>
  <c r="W27" i="17"/>
  <c r="V27" i="17"/>
  <c r="U27" i="17"/>
  <c r="T27" i="17"/>
  <c r="S27" i="17"/>
  <c r="R27" i="17"/>
  <c r="AA25" i="17"/>
  <c r="Z25" i="17"/>
  <c r="Y25" i="17"/>
  <c r="X25" i="17"/>
  <c r="W25" i="17"/>
  <c r="V25" i="17"/>
  <c r="U25" i="17"/>
  <c r="T25" i="17"/>
  <c r="S25" i="17"/>
  <c r="R25" i="17"/>
  <c r="AA23" i="17"/>
  <c r="Z23" i="17"/>
  <c r="Y23" i="17"/>
  <c r="X23" i="17"/>
  <c r="W23" i="17"/>
  <c r="V23" i="17"/>
  <c r="U23" i="17"/>
  <c r="T23" i="17"/>
  <c r="S23" i="17"/>
  <c r="R23" i="17"/>
  <c r="AA21" i="17"/>
  <c r="Z21" i="17"/>
  <c r="Y21" i="17"/>
  <c r="X21" i="17"/>
  <c r="W21" i="17"/>
  <c r="V21" i="17"/>
  <c r="U21" i="17"/>
  <c r="T21" i="17"/>
  <c r="S21" i="17"/>
  <c r="R21" i="17"/>
  <c r="AA19" i="17"/>
  <c r="Z19" i="17"/>
  <c r="Y19" i="17"/>
  <c r="X19" i="17"/>
  <c r="W19" i="17"/>
  <c r="V19" i="17"/>
  <c r="U19" i="17"/>
  <c r="T19" i="17"/>
  <c r="S19" i="17"/>
  <c r="R19" i="17"/>
  <c r="AA17" i="17"/>
  <c r="Z17" i="17"/>
  <c r="Y17" i="17"/>
  <c r="X17" i="17"/>
  <c r="W17" i="17"/>
  <c r="V17" i="17"/>
  <c r="U17" i="17"/>
  <c r="T17" i="17"/>
  <c r="S17" i="17"/>
  <c r="R17" i="17"/>
  <c r="AA15" i="17"/>
  <c r="Z15" i="17"/>
  <c r="Y15" i="17"/>
  <c r="X15" i="17"/>
  <c r="W15" i="17"/>
  <c r="V15" i="17"/>
  <c r="U15" i="17"/>
  <c r="T15" i="17"/>
  <c r="S15" i="17"/>
  <c r="R15" i="17"/>
  <c r="AA13" i="17"/>
  <c r="Z13" i="17"/>
  <c r="Y13" i="17"/>
  <c r="X13" i="17"/>
  <c r="W13" i="17"/>
  <c r="V13" i="17"/>
  <c r="U13" i="17"/>
  <c r="T13" i="17"/>
  <c r="S13" i="17"/>
  <c r="R13" i="17"/>
  <c r="AA11" i="17"/>
  <c r="Z11" i="17"/>
  <c r="Y11" i="17"/>
  <c r="X11" i="17"/>
  <c r="W11" i="17"/>
  <c r="V11" i="17"/>
  <c r="U11" i="17"/>
  <c r="T11" i="17"/>
  <c r="S11" i="17"/>
  <c r="R11" i="17"/>
  <c r="AA9" i="17"/>
  <c r="Z9" i="17"/>
  <c r="Y9" i="17"/>
  <c r="X9" i="17"/>
  <c r="W9" i="17"/>
  <c r="V9" i="17"/>
  <c r="U9" i="17"/>
  <c r="T9" i="17"/>
  <c r="S9" i="17"/>
  <c r="R9" i="17"/>
  <c r="Q354" i="17"/>
  <c r="Q353" i="17"/>
  <c r="Q352" i="17"/>
  <c r="Q351" i="17"/>
  <c r="Q350" i="17"/>
  <c r="Q349" i="17"/>
  <c r="Q348" i="17"/>
  <c r="Y348" i="17" s="1"/>
  <c r="Q347" i="17"/>
  <c r="Q346" i="17"/>
  <c r="Q345" i="17"/>
  <c r="Q344" i="17"/>
  <c r="Q343" i="17"/>
  <c r="Q342" i="17"/>
  <c r="U342" i="17" s="1"/>
  <c r="Q341" i="17"/>
  <c r="Q340" i="17"/>
  <c r="Y340" i="17" s="1"/>
  <c r="Q339" i="17"/>
  <c r="Q338" i="17"/>
  <c r="Q337" i="17"/>
  <c r="Q336" i="17"/>
  <c r="Q335" i="17"/>
  <c r="Q334" i="17"/>
  <c r="Q333" i="17"/>
  <c r="Q332" i="17"/>
  <c r="Q331" i="17"/>
  <c r="Q330" i="17"/>
  <c r="Q329" i="17"/>
  <c r="Q328" i="17"/>
  <c r="Q327" i="17"/>
  <c r="Q326" i="17"/>
  <c r="Q325" i="17"/>
  <c r="Q324" i="17"/>
  <c r="Y324" i="17" s="1"/>
  <c r="Q323" i="17"/>
  <c r="Q322" i="17"/>
  <c r="Q321" i="17"/>
  <c r="Q320" i="17"/>
  <c r="Q319" i="17"/>
  <c r="Q318" i="17"/>
  <c r="U318" i="17" s="1"/>
  <c r="Q317" i="17"/>
  <c r="Q316" i="17"/>
  <c r="Y316" i="17" s="1"/>
  <c r="Q315" i="17"/>
  <c r="Q314" i="17"/>
  <c r="Q313" i="17"/>
  <c r="Q312" i="17"/>
  <c r="Q311" i="17"/>
  <c r="Q310" i="17"/>
  <c r="U310" i="17" s="1"/>
  <c r="Q309" i="17"/>
  <c r="Q308" i="17"/>
  <c r="Q307" i="17"/>
  <c r="Q306" i="17"/>
  <c r="Q305" i="17"/>
  <c r="Q304" i="17"/>
  <c r="Q303" i="17"/>
  <c r="Q302" i="17"/>
  <c r="Q301" i="17"/>
  <c r="Q300" i="17"/>
  <c r="Q299" i="17"/>
  <c r="Q298" i="17"/>
  <c r="Q297" i="17"/>
  <c r="Q296" i="17"/>
  <c r="Q295" i="17"/>
  <c r="Q294" i="17"/>
  <c r="U294" i="17" s="1"/>
  <c r="Q293" i="17"/>
  <c r="Q292" i="17"/>
  <c r="Q291" i="17"/>
  <c r="Q290" i="17"/>
  <c r="Q289" i="17"/>
  <c r="Q288" i="17"/>
  <c r="Q287" i="17"/>
  <c r="Q286" i="17"/>
  <c r="Q285" i="17"/>
  <c r="Q284" i="17"/>
  <c r="Y284" i="17" s="1"/>
  <c r="Q283" i="17"/>
  <c r="Q282" i="17"/>
  <c r="Q281" i="17"/>
  <c r="Q280" i="17"/>
  <c r="Q279" i="17"/>
  <c r="Q278" i="17"/>
  <c r="U278" i="17" s="1"/>
  <c r="Q277" i="17"/>
  <c r="Q276" i="17"/>
  <c r="Y276" i="17" s="1"/>
  <c r="Q275" i="17"/>
  <c r="Q274" i="17"/>
  <c r="Q273" i="17"/>
  <c r="Q272" i="17"/>
  <c r="Q271" i="17"/>
  <c r="Q270" i="17"/>
  <c r="Q269" i="17"/>
  <c r="Q268" i="17"/>
  <c r="Q267" i="17"/>
  <c r="Q266" i="17"/>
  <c r="Q265" i="17"/>
  <c r="Q264" i="17"/>
  <c r="Q263" i="17"/>
  <c r="Q262" i="17"/>
  <c r="Q261" i="17"/>
  <c r="Q260" i="17"/>
  <c r="Y260" i="17" s="1"/>
  <c r="Q259" i="17"/>
  <c r="Q258" i="17"/>
  <c r="Q257" i="17"/>
  <c r="Q256" i="17"/>
  <c r="Q255" i="17"/>
  <c r="Q254" i="17"/>
  <c r="U254" i="17" s="1"/>
  <c r="Q253" i="17"/>
  <c r="Q252" i="17"/>
  <c r="Y252" i="17" s="1"/>
  <c r="Q251" i="17"/>
  <c r="Q250" i="17"/>
  <c r="Q249" i="17"/>
  <c r="Q248" i="17"/>
  <c r="Q247" i="17"/>
  <c r="Q246" i="17"/>
  <c r="U246" i="17" s="1"/>
  <c r="Q245" i="17"/>
  <c r="Q244" i="17"/>
  <c r="Q243" i="17"/>
  <c r="Q242" i="17"/>
  <c r="Q241" i="17"/>
  <c r="Q240" i="17"/>
  <c r="Q239" i="17"/>
  <c r="Q238" i="17"/>
  <c r="Q237" i="17"/>
  <c r="Q236" i="17"/>
  <c r="Q235" i="17"/>
  <c r="Q234" i="17"/>
  <c r="Q233" i="17"/>
  <c r="Q232" i="17"/>
  <c r="Q231" i="17"/>
  <c r="Q230" i="17"/>
  <c r="U230" i="17" s="1"/>
  <c r="Q229" i="17"/>
  <c r="Q228" i="17"/>
  <c r="Q227" i="17"/>
  <c r="Q226" i="17"/>
  <c r="AA226" i="17" s="1"/>
  <c r="Q225" i="17"/>
  <c r="Q224" i="17"/>
  <c r="Q223" i="17"/>
  <c r="Q222" i="17"/>
  <c r="Q221" i="17"/>
  <c r="Q220" i="17"/>
  <c r="Q219" i="17"/>
  <c r="Q218" i="17"/>
  <c r="S218" i="17" s="1"/>
  <c r="Q217" i="17"/>
  <c r="Q216" i="17"/>
  <c r="W216" i="17" s="1"/>
  <c r="Q215" i="17"/>
  <c r="Q214" i="17"/>
  <c r="S214" i="17" s="1"/>
  <c r="Q213" i="17"/>
  <c r="AA213" i="17" s="1"/>
  <c r="Q212" i="17"/>
  <c r="Q211" i="17"/>
  <c r="Q210" i="17"/>
  <c r="Q209" i="17"/>
  <c r="Q208" i="17"/>
  <c r="Q207" i="17"/>
  <c r="Y207" i="17" s="1"/>
  <c r="Q206" i="17"/>
  <c r="Q205" i="17"/>
  <c r="Q204" i="17"/>
  <c r="Q203" i="17"/>
  <c r="Q202" i="17"/>
  <c r="AA202" i="17" s="1"/>
  <c r="Q201" i="17"/>
  <c r="Q200" i="17"/>
  <c r="W200" i="17" s="1"/>
  <c r="Q199" i="17"/>
  <c r="Q198" i="17"/>
  <c r="Q197" i="17"/>
  <c r="Q196" i="17"/>
  <c r="Q195" i="17"/>
  <c r="Q194" i="17"/>
  <c r="Q193" i="17"/>
  <c r="Q192" i="17"/>
  <c r="Q191" i="17"/>
  <c r="Q190" i="17"/>
  <c r="Q189" i="17"/>
  <c r="Q188" i="17"/>
  <c r="Q187" i="17"/>
  <c r="Q186" i="17"/>
  <c r="Q185" i="17"/>
  <c r="Q184" i="17"/>
  <c r="W184" i="17" s="1"/>
  <c r="Q183" i="17"/>
  <c r="Q182" i="17"/>
  <c r="AA182" i="17" s="1"/>
  <c r="Q181" i="17"/>
  <c r="Q180" i="17"/>
  <c r="Q179" i="17"/>
  <c r="Q178" i="17"/>
  <c r="S178" i="17" s="1"/>
  <c r="Q177" i="17"/>
  <c r="Q176" i="17"/>
  <c r="Q175" i="17"/>
  <c r="Q174" i="17"/>
  <c r="Q173" i="17"/>
  <c r="Q172" i="17"/>
  <c r="Q171" i="17"/>
  <c r="Q170" i="17"/>
  <c r="S170" i="17" s="1"/>
  <c r="Q169" i="17"/>
  <c r="Q168" i="17"/>
  <c r="Q167" i="17"/>
  <c r="Q166" i="17"/>
  <c r="AA166" i="17" s="1"/>
  <c r="Q165" i="17"/>
  <c r="Q164" i="17"/>
  <c r="Q163" i="17"/>
  <c r="Q162" i="17"/>
  <c r="Q161" i="17"/>
  <c r="Q160" i="17"/>
  <c r="W160" i="17" s="1"/>
  <c r="Q159" i="17"/>
  <c r="Q158" i="17"/>
  <c r="Q157" i="17"/>
  <c r="Q156" i="17"/>
  <c r="Q155" i="17"/>
  <c r="Q154" i="17"/>
  <c r="S154" i="17" s="1"/>
  <c r="Q153" i="17"/>
  <c r="Q152" i="17"/>
  <c r="W152" i="17" s="1"/>
  <c r="Q151" i="17"/>
  <c r="Q150" i="17"/>
  <c r="Q149" i="17"/>
  <c r="Q148" i="17"/>
  <c r="Q147" i="17"/>
  <c r="Q146" i="17"/>
  <c r="Q145" i="17"/>
  <c r="Q144" i="17"/>
  <c r="Q143" i="17"/>
  <c r="Q142" i="17"/>
  <c r="AA142" i="17" s="1"/>
  <c r="Q141" i="17"/>
  <c r="Q140" i="17"/>
  <c r="Q139" i="17"/>
  <c r="Q138" i="17"/>
  <c r="Q137" i="17"/>
  <c r="Q136" i="17"/>
  <c r="W136" i="17" s="1"/>
  <c r="Q135" i="17"/>
  <c r="Q134" i="17"/>
  <c r="AA134" i="17" s="1"/>
  <c r="Q133" i="17"/>
  <c r="Q132" i="17"/>
  <c r="Q131" i="17"/>
  <c r="Q130" i="17"/>
  <c r="S130" i="17" s="1"/>
  <c r="Q129" i="17"/>
  <c r="Q128" i="17"/>
  <c r="Q127" i="17"/>
  <c r="Q126" i="17"/>
  <c r="Q125" i="17"/>
  <c r="Q124" i="17"/>
  <c r="Q123" i="17"/>
  <c r="Q122" i="17"/>
  <c r="S122" i="17" s="1"/>
  <c r="Q121" i="17"/>
  <c r="Q120" i="17"/>
  <c r="Y120" i="17" s="1"/>
  <c r="Q119" i="17"/>
  <c r="Q118" i="17"/>
  <c r="AA118" i="17" s="1"/>
  <c r="Q117" i="17"/>
  <c r="Q116" i="17"/>
  <c r="Q115" i="17"/>
  <c r="Q114" i="17"/>
  <c r="Q113" i="17"/>
  <c r="Q112" i="17"/>
  <c r="Q111" i="17"/>
  <c r="Q110" i="17"/>
  <c r="AA110" i="17" s="1"/>
  <c r="Q109" i="17"/>
  <c r="Q108" i="17"/>
  <c r="Q107" i="17"/>
  <c r="Q106" i="17"/>
  <c r="Q105" i="17"/>
  <c r="Q104" i="17"/>
  <c r="Y104" i="17" s="1"/>
  <c r="Q103" i="17"/>
  <c r="Q102" i="17"/>
  <c r="AA102" i="17" s="1"/>
  <c r="Q101" i="17"/>
  <c r="Q100" i="17"/>
  <c r="Q99" i="17"/>
  <c r="Q98" i="17"/>
  <c r="U98" i="17" s="1"/>
  <c r="Q97" i="17"/>
  <c r="Q96" i="17"/>
  <c r="Y96" i="17" s="1"/>
  <c r="Q95" i="17"/>
  <c r="Q94" i="17"/>
  <c r="Q93" i="17"/>
  <c r="Q92" i="17"/>
  <c r="Q91" i="17"/>
  <c r="Q90" i="17"/>
  <c r="S90" i="17" s="1"/>
  <c r="Q89" i="17"/>
  <c r="Q88" i="17"/>
  <c r="Z88" i="17" s="1"/>
  <c r="Q87" i="17"/>
  <c r="Q86" i="17"/>
  <c r="AA86" i="17" s="1"/>
  <c r="Q85" i="17"/>
  <c r="Q84" i="17"/>
  <c r="R84" i="17" s="1"/>
  <c r="Q83" i="17"/>
  <c r="Q82" i="17"/>
  <c r="Q81" i="17"/>
  <c r="Q80" i="17"/>
  <c r="Q79" i="17"/>
  <c r="Q78" i="17"/>
  <c r="Q77" i="17"/>
  <c r="Q76" i="17"/>
  <c r="X76" i="17" s="1"/>
  <c r="Q75" i="17"/>
  <c r="Q74" i="17"/>
  <c r="AA74" i="17" s="1"/>
  <c r="Q73" i="17"/>
  <c r="Q72" i="17"/>
  <c r="S72" i="17" s="1"/>
  <c r="Q71" i="17"/>
  <c r="Q70" i="17"/>
  <c r="W70" i="17" s="1"/>
  <c r="Q69" i="17"/>
  <c r="Q68" i="17"/>
  <c r="AA68" i="17" s="1"/>
  <c r="Q67" i="17"/>
  <c r="Q66" i="17"/>
  <c r="AA66" i="17" s="1"/>
  <c r="Q65" i="17"/>
  <c r="Q64" i="17"/>
  <c r="S64" i="17" s="1"/>
  <c r="Q63" i="17"/>
  <c r="Q62" i="17"/>
  <c r="W62" i="17" s="1"/>
  <c r="Q61" i="17"/>
  <c r="Q60" i="17"/>
  <c r="AA60" i="17" s="1"/>
  <c r="Q59" i="17"/>
  <c r="Q58" i="17"/>
  <c r="AA58" i="17" s="1"/>
  <c r="Q57" i="17"/>
  <c r="Q56" i="17"/>
  <c r="S56" i="17" s="1"/>
  <c r="Q55" i="17"/>
  <c r="Q54" i="17"/>
  <c r="W54" i="17" s="1"/>
  <c r="Q53" i="17"/>
  <c r="Q52" i="17"/>
  <c r="AA52" i="17" s="1"/>
  <c r="Q51" i="17"/>
  <c r="Q50" i="17"/>
  <c r="AA50" i="17" s="1"/>
  <c r="Q49" i="17"/>
  <c r="Q48" i="17"/>
  <c r="S48" i="17" s="1"/>
  <c r="Q47" i="17"/>
  <c r="Q46" i="17"/>
  <c r="W46" i="17" s="1"/>
  <c r="Q45" i="17"/>
  <c r="Q44" i="17"/>
  <c r="AA44" i="17" s="1"/>
  <c r="Q43" i="17"/>
  <c r="Q42" i="17"/>
  <c r="AA42" i="17" s="1"/>
  <c r="Q41" i="17"/>
  <c r="Q40" i="17"/>
  <c r="S40" i="17" s="1"/>
  <c r="Q39" i="17"/>
  <c r="Q38" i="17"/>
  <c r="W38" i="17" s="1"/>
  <c r="Q37" i="17"/>
  <c r="Q36" i="17"/>
  <c r="AA36" i="17" s="1"/>
  <c r="Q35" i="17"/>
  <c r="Q34" i="17"/>
  <c r="AA34" i="17" s="1"/>
  <c r="Q33" i="17"/>
  <c r="Q32" i="17"/>
  <c r="S32" i="17" s="1"/>
  <c r="Q31" i="17"/>
  <c r="Q30" i="17"/>
  <c r="W30" i="17" s="1"/>
  <c r="Q29" i="17"/>
  <c r="Q28" i="17"/>
  <c r="AA28" i="17" s="1"/>
  <c r="Q27" i="17"/>
  <c r="Q26" i="17"/>
  <c r="AA26" i="17" s="1"/>
  <c r="Q25" i="17"/>
  <c r="Q24" i="17"/>
  <c r="S24" i="17" s="1"/>
  <c r="Q23" i="17"/>
  <c r="Q22" i="17"/>
  <c r="W22" i="17" s="1"/>
  <c r="Q21" i="17"/>
  <c r="Q20" i="17"/>
  <c r="AA20" i="17" s="1"/>
  <c r="Q19" i="17"/>
  <c r="Q18" i="17"/>
  <c r="AA18" i="17" s="1"/>
  <c r="Q17" i="17"/>
  <c r="Q16" i="17"/>
  <c r="S16" i="17" s="1"/>
  <c r="Q15" i="17"/>
  <c r="Q14" i="17"/>
  <c r="W14" i="17" s="1"/>
  <c r="Q13" i="17"/>
  <c r="Z43" i="5" l="1"/>
  <c r="U29" i="5"/>
  <c r="T29" i="5"/>
  <c r="Z28" i="5"/>
  <c r="X28" i="5"/>
  <c r="X38" i="5"/>
  <c r="AA37" i="5"/>
  <c r="Z37" i="5"/>
  <c r="Y37" i="5"/>
  <c r="S37" i="5"/>
  <c r="X37" i="5"/>
  <c r="W41" i="5"/>
  <c r="W37" i="5"/>
  <c r="X35" i="5"/>
  <c r="W35" i="5"/>
  <c r="S35" i="5"/>
  <c r="AA43" i="5"/>
  <c r="R31" i="5"/>
  <c r="Z42" i="5"/>
  <c r="AA28" i="5"/>
  <c r="T42" i="5"/>
  <c r="Y38" i="5"/>
  <c r="Z34" i="5"/>
  <c r="Y28" i="5"/>
  <c r="S42" i="5"/>
  <c r="Y34" i="5"/>
  <c r="AA34" i="5"/>
  <c r="R41" i="5"/>
  <c r="AA41" i="5"/>
  <c r="W38" i="5"/>
  <c r="X34" i="5"/>
  <c r="W28" i="5"/>
  <c r="Z41" i="5"/>
  <c r="V38" i="5"/>
  <c r="V34" i="5"/>
  <c r="U34" i="5"/>
  <c r="S34" i="5"/>
  <c r="V31" i="5"/>
  <c r="R35" i="5"/>
  <c r="V35" i="5"/>
  <c r="U35" i="5"/>
  <c r="T35" i="5"/>
  <c r="AA35" i="5"/>
  <c r="Y35" i="5"/>
  <c r="AA39" i="5"/>
  <c r="AA33" i="5"/>
  <c r="R33" i="5"/>
  <c r="Z33" i="5"/>
  <c r="S33" i="5"/>
  <c r="S44" i="5"/>
  <c r="Y43" i="5"/>
  <c r="X43" i="5"/>
  <c r="R42" i="5"/>
  <c r="Y42" i="5"/>
  <c r="X42" i="5"/>
  <c r="W42" i="5"/>
  <c r="W40" i="5"/>
  <c r="T40" i="5"/>
  <c r="Y39" i="5"/>
  <c r="S39" i="5"/>
  <c r="X39" i="5"/>
  <c r="T38" i="5"/>
  <c r="T34" i="5"/>
  <c r="R34" i="5"/>
  <c r="Y33" i="5"/>
  <c r="X33" i="5"/>
  <c r="W33" i="5"/>
  <c r="V33" i="5"/>
  <c r="U33" i="5"/>
  <c r="AA32" i="5"/>
  <c r="Y32" i="5"/>
  <c r="X32" i="5"/>
  <c r="W32" i="5"/>
  <c r="V32" i="5"/>
  <c r="R32" i="5"/>
  <c r="U32" i="5"/>
  <c r="Z32" i="5"/>
  <c r="T32" i="5"/>
  <c r="AA31" i="5"/>
  <c r="Z31" i="5"/>
  <c r="S31" i="5"/>
  <c r="Y31" i="5"/>
  <c r="V28" i="5"/>
  <c r="T28" i="5"/>
  <c r="S28" i="5"/>
  <c r="R43" i="5"/>
  <c r="W43" i="5"/>
  <c r="V43" i="5"/>
  <c r="U43" i="5"/>
  <c r="T43" i="5"/>
  <c r="V41" i="5"/>
  <c r="U41" i="5"/>
  <c r="W39" i="5"/>
  <c r="V39" i="5"/>
  <c r="U39" i="5"/>
  <c r="V37" i="5"/>
  <c r="U37" i="5"/>
  <c r="R37" i="5"/>
  <c r="R36" i="5"/>
  <c r="T36" i="5"/>
  <c r="AA36" i="5"/>
  <c r="S36" i="5"/>
  <c r="Y36" i="5"/>
  <c r="X36" i="5"/>
  <c r="W36" i="5"/>
  <c r="V36" i="5"/>
  <c r="U36" i="5"/>
  <c r="U31" i="5"/>
  <c r="T31" i="5"/>
  <c r="AA30" i="5"/>
  <c r="Z30" i="5"/>
  <c r="R30" i="5"/>
  <c r="Y30" i="5"/>
  <c r="X30" i="5"/>
  <c r="W30" i="5"/>
  <c r="V30" i="5"/>
  <c r="U30" i="5"/>
  <c r="T30" i="5"/>
  <c r="AA29" i="5"/>
  <c r="Z29" i="5"/>
  <c r="Y22" i="17"/>
  <c r="Y14" i="17"/>
  <c r="AA124" i="17"/>
  <c r="Z124" i="17"/>
  <c r="Y124" i="17"/>
  <c r="X124" i="17"/>
  <c r="W124" i="17"/>
  <c r="V124" i="17"/>
  <c r="U124" i="17"/>
  <c r="T124" i="17"/>
  <c r="S124" i="17"/>
  <c r="R124" i="17"/>
  <c r="W268" i="17"/>
  <c r="V268" i="17"/>
  <c r="U268" i="17"/>
  <c r="T268" i="17"/>
  <c r="S268" i="17"/>
  <c r="R268" i="17"/>
  <c r="AA268" i="17"/>
  <c r="Z268" i="17"/>
  <c r="X268" i="17"/>
  <c r="AA106" i="17"/>
  <c r="Z106" i="17"/>
  <c r="Y106" i="17"/>
  <c r="X106" i="17"/>
  <c r="W106" i="17"/>
  <c r="V106" i="17"/>
  <c r="T106" i="17"/>
  <c r="R106" i="17"/>
  <c r="AA138" i="17"/>
  <c r="Z138" i="17"/>
  <c r="Y138" i="17"/>
  <c r="X138" i="17"/>
  <c r="W138" i="17"/>
  <c r="V138" i="17"/>
  <c r="U138" i="17"/>
  <c r="T138" i="17"/>
  <c r="R138" i="17"/>
  <c r="AA234" i="17"/>
  <c r="Z234" i="17"/>
  <c r="Y234" i="17"/>
  <c r="X234" i="17"/>
  <c r="W234" i="17"/>
  <c r="V234" i="17"/>
  <c r="U234" i="17"/>
  <c r="T234" i="17"/>
  <c r="S234" i="17"/>
  <c r="R234" i="17"/>
  <c r="AA250" i="17"/>
  <c r="Z250" i="17"/>
  <c r="Y250" i="17"/>
  <c r="X250" i="17"/>
  <c r="W250" i="17"/>
  <c r="V250" i="17"/>
  <c r="U250" i="17"/>
  <c r="T250" i="17"/>
  <c r="S250" i="17"/>
  <c r="R250" i="17"/>
  <c r="AA282" i="17"/>
  <c r="Z282" i="17"/>
  <c r="Y282" i="17"/>
  <c r="X282" i="17"/>
  <c r="W282" i="17"/>
  <c r="V282" i="17"/>
  <c r="U282" i="17"/>
  <c r="T282" i="17"/>
  <c r="S282" i="17"/>
  <c r="R282" i="17"/>
  <c r="AA314" i="17"/>
  <c r="Z314" i="17"/>
  <c r="Y314" i="17"/>
  <c r="X314" i="17"/>
  <c r="W314" i="17"/>
  <c r="V314" i="17"/>
  <c r="U314" i="17"/>
  <c r="T314" i="17"/>
  <c r="S314" i="17"/>
  <c r="R314" i="17"/>
  <c r="AA330" i="17"/>
  <c r="Z330" i="17"/>
  <c r="Y330" i="17"/>
  <c r="X330" i="17"/>
  <c r="W330" i="17"/>
  <c r="V330" i="17"/>
  <c r="U330" i="17"/>
  <c r="T330" i="17"/>
  <c r="S330" i="17"/>
  <c r="R330" i="17"/>
  <c r="X14" i="17"/>
  <c r="T16" i="17"/>
  <c r="X22" i="17"/>
  <c r="T24" i="17"/>
  <c r="X30" i="17"/>
  <c r="T32" i="17"/>
  <c r="X38" i="17"/>
  <c r="T40" i="17"/>
  <c r="X46" i="17"/>
  <c r="T48" i="17"/>
  <c r="X54" i="17"/>
  <c r="T56" i="17"/>
  <c r="X62" i="17"/>
  <c r="T64" i="17"/>
  <c r="X70" i="17"/>
  <c r="T72" i="17"/>
  <c r="W88" i="17"/>
  <c r="V90" i="17"/>
  <c r="S98" i="17"/>
  <c r="W300" i="17"/>
  <c r="V300" i="17"/>
  <c r="U300" i="17"/>
  <c r="T300" i="17"/>
  <c r="S300" i="17"/>
  <c r="R300" i="17"/>
  <c r="AA300" i="17"/>
  <c r="Z300" i="17"/>
  <c r="X300" i="17"/>
  <c r="U16" i="17"/>
  <c r="U24" i="17"/>
  <c r="Y30" i="17"/>
  <c r="U32" i="17"/>
  <c r="Y38" i="17"/>
  <c r="U40" i="17"/>
  <c r="Y46" i="17"/>
  <c r="U48" i="17"/>
  <c r="Y54" i="17"/>
  <c r="U56" i="17"/>
  <c r="Y62" i="17"/>
  <c r="U64" i="17"/>
  <c r="Y70" i="17"/>
  <c r="U72" i="17"/>
  <c r="Y88" i="17"/>
  <c r="W104" i="17"/>
  <c r="Z14" i="17"/>
  <c r="V16" i="17"/>
  <c r="R18" i="17"/>
  <c r="Z22" i="17"/>
  <c r="V24" i="17"/>
  <c r="R26" i="17"/>
  <c r="Z30" i="17"/>
  <c r="V32" i="17"/>
  <c r="R34" i="17"/>
  <c r="Z38" i="17"/>
  <c r="V40" i="17"/>
  <c r="R42" i="17"/>
  <c r="Z46" i="17"/>
  <c r="V48" i="17"/>
  <c r="R50" i="17"/>
  <c r="Z54" i="17"/>
  <c r="V56" i="17"/>
  <c r="R58" i="17"/>
  <c r="Z62" i="17"/>
  <c r="V64" i="17"/>
  <c r="R66" i="17"/>
  <c r="Z70" i="17"/>
  <c r="V72" i="17"/>
  <c r="R74" i="17"/>
  <c r="V96" i="17"/>
  <c r="AA108" i="17"/>
  <c r="Z108" i="17"/>
  <c r="Y108" i="17"/>
  <c r="X108" i="17"/>
  <c r="W108" i="17"/>
  <c r="V108" i="17"/>
  <c r="U108" i="17"/>
  <c r="T108" i="17"/>
  <c r="S108" i="17"/>
  <c r="R108" i="17"/>
  <c r="W236" i="17"/>
  <c r="V236" i="17"/>
  <c r="U236" i="17"/>
  <c r="T236" i="17"/>
  <c r="S236" i="17"/>
  <c r="R236" i="17"/>
  <c r="AA236" i="17"/>
  <c r="Z236" i="17"/>
  <c r="X236" i="17"/>
  <c r="U78" i="17"/>
  <c r="T78" i="17"/>
  <c r="R78" i="17"/>
  <c r="Y94" i="17"/>
  <c r="X94" i="17"/>
  <c r="W94" i="17"/>
  <c r="V94" i="17"/>
  <c r="U94" i="17"/>
  <c r="T94" i="17"/>
  <c r="S94" i="17"/>
  <c r="R94" i="17"/>
  <c r="Y126" i="17"/>
  <c r="X126" i="17"/>
  <c r="W126" i="17"/>
  <c r="V126" i="17"/>
  <c r="U126" i="17"/>
  <c r="T126" i="17"/>
  <c r="S126" i="17"/>
  <c r="R126" i="17"/>
  <c r="Z126" i="17"/>
  <c r="Y158" i="17"/>
  <c r="X158" i="17"/>
  <c r="W158" i="17"/>
  <c r="V158" i="17"/>
  <c r="U158" i="17"/>
  <c r="T158" i="17"/>
  <c r="S158" i="17"/>
  <c r="R158" i="17"/>
  <c r="Z158" i="17"/>
  <c r="Y174" i="17"/>
  <c r="X174" i="17"/>
  <c r="W174" i="17"/>
  <c r="V174" i="17"/>
  <c r="U174" i="17"/>
  <c r="T174" i="17"/>
  <c r="S174" i="17"/>
  <c r="R174" i="17"/>
  <c r="Z174" i="17"/>
  <c r="S206" i="17"/>
  <c r="R206" i="17"/>
  <c r="AA206" i="17"/>
  <c r="Z206" i="17"/>
  <c r="Y206" i="17"/>
  <c r="X206" i="17"/>
  <c r="W206" i="17"/>
  <c r="V206" i="17"/>
  <c r="T206" i="17"/>
  <c r="S238" i="17"/>
  <c r="R238" i="17"/>
  <c r="AA238" i="17"/>
  <c r="Z238" i="17"/>
  <c r="Y238" i="17"/>
  <c r="X238" i="17"/>
  <c r="W238" i="17"/>
  <c r="V238" i="17"/>
  <c r="T238" i="17"/>
  <c r="S270" i="17"/>
  <c r="R270" i="17"/>
  <c r="AA270" i="17"/>
  <c r="Z270" i="17"/>
  <c r="Y270" i="17"/>
  <c r="X270" i="17"/>
  <c r="W270" i="17"/>
  <c r="V270" i="17"/>
  <c r="T270" i="17"/>
  <c r="S302" i="17"/>
  <c r="R302" i="17"/>
  <c r="AA302" i="17"/>
  <c r="Z302" i="17"/>
  <c r="Y302" i="17"/>
  <c r="X302" i="17"/>
  <c r="W302" i="17"/>
  <c r="V302" i="17"/>
  <c r="T302" i="17"/>
  <c r="S350" i="17"/>
  <c r="R350" i="17"/>
  <c r="AA350" i="17"/>
  <c r="Z350" i="17"/>
  <c r="Y350" i="17"/>
  <c r="X350" i="17"/>
  <c r="W350" i="17"/>
  <c r="V350" i="17"/>
  <c r="T350" i="17"/>
  <c r="AA14" i="17"/>
  <c r="W16" i="17"/>
  <c r="S18" i="17"/>
  <c r="AA22" i="17"/>
  <c r="W24" i="17"/>
  <c r="S26" i="17"/>
  <c r="AA30" i="17"/>
  <c r="W32" i="17"/>
  <c r="S34" i="17"/>
  <c r="AA38" i="17"/>
  <c r="W40" i="17"/>
  <c r="S42" i="17"/>
  <c r="AA46" i="17"/>
  <c r="W48" i="17"/>
  <c r="S50" i="17"/>
  <c r="AA54" i="17"/>
  <c r="W56" i="17"/>
  <c r="S58" i="17"/>
  <c r="AA62" i="17"/>
  <c r="W64" i="17"/>
  <c r="S66" i="17"/>
  <c r="AA70" i="17"/>
  <c r="W72" i="17"/>
  <c r="S74" i="17"/>
  <c r="Z86" i="17"/>
  <c r="W96" i="17"/>
  <c r="Y110" i="17"/>
  <c r="X110" i="17"/>
  <c r="W110" i="17"/>
  <c r="V110" i="17"/>
  <c r="U110" i="17"/>
  <c r="T110" i="17"/>
  <c r="S110" i="17"/>
  <c r="R110" i="17"/>
  <c r="Z110" i="17"/>
  <c r="Y142" i="17"/>
  <c r="X142" i="17"/>
  <c r="W142" i="17"/>
  <c r="V142" i="17"/>
  <c r="U142" i="17"/>
  <c r="T142" i="17"/>
  <c r="S142" i="17"/>
  <c r="R142" i="17"/>
  <c r="Z142" i="17"/>
  <c r="Y190" i="17"/>
  <c r="X190" i="17"/>
  <c r="W190" i="17"/>
  <c r="V190" i="17"/>
  <c r="U190" i="17"/>
  <c r="T190" i="17"/>
  <c r="S190" i="17"/>
  <c r="R190" i="17"/>
  <c r="Z190" i="17"/>
  <c r="Y222" i="17"/>
  <c r="X222" i="17"/>
  <c r="W222" i="17"/>
  <c r="V222" i="17"/>
  <c r="U222" i="17"/>
  <c r="T222" i="17"/>
  <c r="S222" i="17"/>
  <c r="R222" i="17"/>
  <c r="Z222" i="17"/>
  <c r="S254" i="17"/>
  <c r="R254" i="17"/>
  <c r="AA254" i="17"/>
  <c r="Z254" i="17"/>
  <c r="Y254" i="17"/>
  <c r="X254" i="17"/>
  <c r="W254" i="17"/>
  <c r="V254" i="17"/>
  <c r="T254" i="17"/>
  <c r="S286" i="17"/>
  <c r="R286" i="17"/>
  <c r="AA286" i="17"/>
  <c r="Z286" i="17"/>
  <c r="Y286" i="17"/>
  <c r="X286" i="17"/>
  <c r="W286" i="17"/>
  <c r="V286" i="17"/>
  <c r="T286" i="17"/>
  <c r="S318" i="17"/>
  <c r="R318" i="17"/>
  <c r="AA318" i="17"/>
  <c r="Z318" i="17"/>
  <c r="Y318" i="17"/>
  <c r="X318" i="17"/>
  <c r="W318" i="17"/>
  <c r="V318" i="17"/>
  <c r="T318" i="17"/>
  <c r="S334" i="17"/>
  <c r="R334" i="17"/>
  <c r="AA334" i="17"/>
  <c r="Z334" i="17"/>
  <c r="Y334" i="17"/>
  <c r="X334" i="17"/>
  <c r="W334" i="17"/>
  <c r="V334" i="17"/>
  <c r="T334" i="17"/>
  <c r="X16" i="17"/>
  <c r="T18" i="17"/>
  <c r="X24" i="17"/>
  <c r="T26" i="17"/>
  <c r="X32" i="17"/>
  <c r="T34" i="17"/>
  <c r="X40" i="17"/>
  <c r="T42" i="17"/>
  <c r="X48" i="17"/>
  <c r="T50" i="17"/>
  <c r="X56" i="17"/>
  <c r="T58" i="17"/>
  <c r="X64" i="17"/>
  <c r="T66" i="17"/>
  <c r="X72" i="17"/>
  <c r="T74" i="17"/>
  <c r="AA190" i="17"/>
  <c r="Y236" i="17"/>
  <c r="Y300" i="17"/>
  <c r="W204" i="17"/>
  <c r="V204" i="17"/>
  <c r="U204" i="17"/>
  <c r="T204" i="17"/>
  <c r="S204" i="17"/>
  <c r="R204" i="17"/>
  <c r="AA204" i="17"/>
  <c r="Z204" i="17"/>
  <c r="X204" i="17"/>
  <c r="U80" i="17"/>
  <c r="T80" i="17"/>
  <c r="AA80" i="17"/>
  <c r="U96" i="17"/>
  <c r="T96" i="17"/>
  <c r="S96" i="17"/>
  <c r="R96" i="17"/>
  <c r="AA96" i="17"/>
  <c r="Z96" i="17"/>
  <c r="X96" i="17"/>
  <c r="U128" i="17"/>
  <c r="T128" i="17"/>
  <c r="S128" i="17"/>
  <c r="R128" i="17"/>
  <c r="AA128" i="17"/>
  <c r="Z128" i="17"/>
  <c r="Y128" i="17"/>
  <c r="X128" i="17"/>
  <c r="V128" i="17"/>
  <c r="U160" i="17"/>
  <c r="T160" i="17"/>
  <c r="S160" i="17"/>
  <c r="R160" i="17"/>
  <c r="AA160" i="17"/>
  <c r="Z160" i="17"/>
  <c r="Y160" i="17"/>
  <c r="X160" i="17"/>
  <c r="V160" i="17"/>
  <c r="U192" i="17"/>
  <c r="T192" i="17"/>
  <c r="S192" i="17"/>
  <c r="R192" i="17"/>
  <c r="AA192" i="17"/>
  <c r="Z192" i="17"/>
  <c r="Y192" i="17"/>
  <c r="X192" i="17"/>
  <c r="V192" i="17"/>
  <c r="U224" i="17"/>
  <c r="T224" i="17"/>
  <c r="S224" i="17"/>
  <c r="R224" i="17"/>
  <c r="AA224" i="17"/>
  <c r="Z224" i="17"/>
  <c r="Y224" i="17"/>
  <c r="X224" i="17"/>
  <c r="V224" i="17"/>
  <c r="AA256" i="17"/>
  <c r="Z256" i="17"/>
  <c r="Y256" i="17"/>
  <c r="X256" i="17"/>
  <c r="W256" i="17"/>
  <c r="V256" i="17"/>
  <c r="U256" i="17"/>
  <c r="T256" i="17"/>
  <c r="S256" i="17"/>
  <c r="R256" i="17"/>
  <c r="AA272" i="17"/>
  <c r="Z272" i="17"/>
  <c r="Y272" i="17"/>
  <c r="X272" i="17"/>
  <c r="W272" i="17"/>
  <c r="V272" i="17"/>
  <c r="U272" i="17"/>
  <c r="T272" i="17"/>
  <c r="S272" i="17"/>
  <c r="R272" i="17"/>
  <c r="AA304" i="17"/>
  <c r="Z304" i="17"/>
  <c r="Y304" i="17"/>
  <c r="X304" i="17"/>
  <c r="W304" i="17"/>
  <c r="V304" i="17"/>
  <c r="U304" i="17"/>
  <c r="T304" i="17"/>
  <c r="S304" i="17"/>
  <c r="R304" i="17"/>
  <c r="AA352" i="17"/>
  <c r="Z352" i="17"/>
  <c r="Y352" i="17"/>
  <c r="X352" i="17"/>
  <c r="W352" i="17"/>
  <c r="V352" i="17"/>
  <c r="U352" i="17"/>
  <c r="T352" i="17"/>
  <c r="S352" i="17"/>
  <c r="R352" i="17"/>
  <c r="Y16" i="17"/>
  <c r="U18" i="17"/>
  <c r="Y24" i="17"/>
  <c r="U26" i="17"/>
  <c r="Y32" i="17"/>
  <c r="U34" i="17"/>
  <c r="Y40" i="17"/>
  <c r="U42" i="17"/>
  <c r="Y48" i="17"/>
  <c r="U50" i="17"/>
  <c r="Y56" i="17"/>
  <c r="U58" i="17"/>
  <c r="Y64" i="17"/>
  <c r="U66" i="17"/>
  <c r="Y72" i="17"/>
  <c r="U74" i="17"/>
  <c r="W224" i="17"/>
  <c r="AA140" i="17"/>
  <c r="Z140" i="17"/>
  <c r="Y140" i="17"/>
  <c r="X140" i="17"/>
  <c r="W140" i="17"/>
  <c r="V140" i="17"/>
  <c r="U140" i="17"/>
  <c r="T140" i="17"/>
  <c r="S140" i="17"/>
  <c r="R140" i="17"/>
  <c r="U112" i="17"/>
  <c r="T112" i="17"/>
  <c r="S112" i="17"/>
  <c r="R112" i="17"/>
  <c r="AA112" i="17"/>
  <c r="Z112" i="17"/>
  <c r="X112" i="17"/>
  <c r="V112" i="17"/>
  <c r="U144" i="17"/>
  <c r="T144" i="17"/>
  <c r="S144" i="17"/>
  <c r="R144" i="17"/>
  <c r="AA144" i="17"/>
  <c r="Z144" i="17"/>
  <c r="Y144" i="17"/>
  <c r="X144" i="17"/>
  <c r="V144" i="17"/>
  <c r="U176" i="17"/>
  <c r="T176" i="17"/>
  <c r="S176" i="17"/>
  <c r="R176" i="17"/>
  <c r="AA176" i="17"/>
  <c r="Z176" i="17"/>
  <c r="Y176" i="17"/>
  <c r="X176" i="17"/>
  <c r="V176" i="17"/>
  <c r="AA208" i="17"/>
  <c r="S208" i="17"/>
  <c r="AA240" i="17"/>
  <c r="Z240" i="17"/>
  <c r="Y240" i="17"/>
  <c r="X240" i="17"/>
  <c r="W240" i="17"/>
  <c r="V240" i="17"/>
  <c r="U240" i="17"/>
  <c r="T240" i="17"/>
  <c r="S240" i="17"/>
  <c r="R240" i="17"/>
  <c r="AA288" i="17"/>
  <c r="Z288" i="17"/>
  <c r="Y288" i="17"/>
  <c r="X288" i="17"/>
  <c r="W288" i="17"/>
  <c r="V288" i="17"/>
  <c r="U288" i="17"/>
  <c r="T288" i="17"/>
  <c r="S288" i="17"/>
  <c r="R288" i="17"/>
  <c r="AA320" i="17"/>
  <c r="Z320" i="17"/>
  <c r="Y320" i="17"/>
  <c r="X320" i="17"/>
  <c r="W320" i="17"/>
  <c r="V320" i="17"/>
  <c r="U320" i="17"/>
  <c r="T320" i="17"/>
  <c r="S320" i="17"/>
  <c r="R320" i="17"/>
  <c r="AA336" i="17"/>
  <c r="Z336" i="17"/>
  <c r="Y336" i="17"/>
  <c r="X336" i="17"/>
  <c r="W336" i="17"/>
  <c r="V336" i="17"/>
  <c r="U336" i="17"/>
  <c r="T336" i="17"/>
  <c r="S336" i="17"/>
  <c r="R336" i="17"/>
  <c r="Z16" i="17"/>
  <c r="V18" i="17"/>
  <c r="R20" i="17"/>
  <c r="Z24" i="17"/>
  <c r="V26" i="17"/>
  <c r="R28" i="17"/>
  <c r="Z32" i="17"/>
  <c r="V34" i="17"/>
  <c r="R36" i="17"/>
  <c r="Z40" i="17"/>
  <c r="V42" i="17"/>
  <c r="R44" i="17"/>
  <c r="Z48" i="17"/>
  <c r="V50" i="17"/>
  <c r="R52" i="17"/>
  <c r="Z56" i="17"/>
  <c r="V58" i="17"/>
  <c r="R60" i="17"/>
  <c r="Z64" i="17"/>
  <c r="V66" i="17"/>
  <c r="R68" i="17"/>
  <c r="Z72" i="17"/>
  <c r="V74" i="17"/>
  <c r="R76" i="17"/>
  <c r="Z94" i="17"/>
  <c r="AA156" i="17"/>
  <c r="Z156" i="17"/>
  <c r="Y156" i="17"/>
  <c r="X156" i="17"/>
  <c r="W156" i="17"/>
  <c r="V156" i="17"/>
  <c r="U156" i="17"/>
  <c r="T156" i="17"/>
  <c r="S156" i="17"/>
  <c r="R156" i="17"/>
  <c r="AA98" i="17"/>
  <c r="Z98" i="17"/>
  <c r="Y98" i="17"/>
  <c r="X98" i="17"/>
  <c r="W98" i="17"/>
  <c r="V98" i="17"/>
  <c r="T98" i="17"/>
  <c r="AA114" i="17"/>
  <c r="Z114" i="17"/>
  <c r="Y114" i="17"/>
  <c r="X114" i="17"/>
  <c r="W114" i="17"/>
  <c r="V114" i="17"/>
  <c r="T114" i="17"/>
  <c r="R114" i="17"/>
  <c r="AA146" i="17"/>
  <c r="Z146" i="17"/>
  <c r="Y146" i="17"/>
  <c r="X146" i="17"/>
  <c r="W146" i="17"/>
  <c r="V146" i="17"/>
  <c r="U146" i="17"/>
  <c r="T146" i="17"/>
  <c r="R146" i="17"/>
  <c r="AA162" i="17"/>
  <c r="Z162" i="17"/>
  <c r="Y162" i="17"/>
  <c r="X162" i="17"/>
  <c r="W162" i="17"/>
  <c r="V162" i="17"/>
  <c r="U162" i="17"/>
  <c r="T162" i="17"/>
  <c r="R162" i="17"/>
  <c r="AA178" i="17"/>
  <c r="Z178" i="17"/>
  <c r="Y178" i="17"/>
  <c r="X178" i="17"/>
  <c r="W178" i="17"/>
  <c r="V178" i="17"/>
  <c r="U178" i="17"/>
  <c r="T178" i="17"/>
  <c r="R178" i="17"/>
  <c r="AA194" i="17"/>
  <c r="Z194" i="17"/>
  <c r="Y194" i="17"/>
  <c r="X194" i="17"/>
  <c r="W194" i="17"/>
  <c r="V194" i="17"/>
  <c r="U194" i="17"/>
  <c r="T194" i="17"/>
  <c r="R194" i="17"/>
  <c r="AA210" i="17"/>
  <c r="Z210" i="17"/>
  <c r="Y210" i="17"/>
  <c r="X210" i="17"/>
  <c r="W210" i="17"/>
  <c r="V210" i="17"/>
  <c r="U210" i="17"/>
  <c r="T210" i="17"/>
  <c r="S210" i="17"/>
  <c r="R210" i="17"/>
  <c r="AA242" i="17"/>
  <c r="Z242" i="17"/>
  <c r="Y242" i="17"/>
  <c r="X242" i="17"/>
  <c r="W242" i="17"/>
  <c r="V242" i="17"/>
  <c r="U242" i="17"/>
  <c r="T242" i="17"/>
  <c r="S242" i="17"/>
  <c r="R242" i="17"/>
  <c r="AA274" i="17"/>
  <c r="Z274" i="17"/>
  <c r="Y274" i="17"/>
  <c r="X274" i="17"/>
  <c r="W274" i="17"/>
  <c r="V274" i="17"/>
  <c r="U274" i="17"/>
  <c r="T274" i="17"/>
  <c r="S274" i="17"/>
  <c r="R274" i="17"/>
  <c r="AA306" i="17"/>
  <c r="Z306" i="17"/>
  <c r="Y306" i="17"/>
  <c r="X306" i="17"/>
  <c r="W306" i="17"/>
  <c r="V306" i="17"/>
  <c r="U306" i="17"/>
  <c r="T306" i="17"/>
  <c r="S306" i="17"/>
  <c r="R306" i="17"/>
  <c r="AA338" i="17"/>
  <c r="Z338" i="17"/>
  <c r="Y338" i="17"/>
  <c r="X338" i="17"/>
  <c r="W338" i="17"/>
  <c r="V338" i="17"/>
  <c r="U338" i="17"/>
  <c r="T338" i="17"/>
  <c r="S338" i="17"/>
  <c r="R338" i="17"/>
  <c r="AA16" i="17"/>
  <c r="W18" i="17"/>
  <c r="S20" i="17"/>
  <c r="AA24" i="17"/>
  <c r="W26" i="17"/>
  <c r="S28" i="17"/>
  <c r="AA32" i="17"/>
  <c r="W34" i="17"/>
  <c r="S36" i="17"/>
  <c r="AA40" i="17"/>
  <c r="W42" i="17"/>
  <c r="S44" i="17"/>
  <c r="AA48" i="17"/>
  <c r="W50" i="17"/>
  <c r="S52" i="17"/>
  <c r="AA56" i="17"/>
  <c r="W58" i="17"/>
  <c r="S60" i="17"/>
  <c r="AA64" i="17"/>
  <c r="W66" i="17"/>
  <c r="S68" i="17"/>
  <c r="AA72" i="17"/>
  <c r="W74" i="17"/>
  <c r="S76" i="17"/>
  <c r="AA94" i="17"/>
  <c r="W128" i="17"/>
  <c r="U270" i="17"/>
  <c r="U334" i="17"/>
  <c r="AA92" i="17"/>
  <c r="Z92" i="17"/>
  <c r="Y92" i="17"/>
  <c r="X92" i="17"/>
  <c r="W92" i="17"/>
  <c r="V92" i="17"/>
  <c r="U92" i="17"/>
  <c r="T92" i="17"/>
  <c r="S92" i="17"/>
  <c r="W348" i="17"/>
  <c r="V348" i="17"/>
  <c r="U348" i="17"/>
  <c r="T348" i="17"/>
  <c r="S348" i="17"/>
  <c r="R348" i="17"/>
  <c r="AA348" i="17"/>
  <c r="Z348" i="17"/>
  <c r="X348" i="17"/>
  <c r="AA82" i="17"/>
  <c r="Z82" i="17"/>
  <c r="Y82" i="17"/>
  <c r="X82" i="17"/>
  <c r="W82" i="17"/>
  <c r="T82" i="17"/>
  <c r="AA130" i="17"/>
  <c r="Z130" i="17"/>
  <c r="Y130" i="17"/>
  <c r="X130" i="17"/>
  <c r="W130" i="17"/>
  <c r="V130" i="17"/>
  <c r="U130" i="17"/>
  <c r="T130" i="17"/>
  <c r="R130" i="17"/>
  <c r="AA258" i="17"/>
  <c r="Z258" i="17"/>
  <c r="Y258" i="17"/>
  <c r="X258" i="17"/>
  <c r="W258" i="17"/>
  <c r="V258" i="17"/>
  <c r="U258" i="17"/>
  <c r="T258" i="17"/>
  <c r="S258" i="17"/>
  <c r="R258" i="17"/>
  <c r="AA290" i="17"/>
  <c r="Z290" i="17"/>
  <c r="Y290" i="17"/>
  <c r="X290" i="17"/>
  <c r="W290" i="17"/>
  <c r="V290" i="17"/>
  <c r="U290" i="17"/>
  <c r="T290" i="17"/>
  <c r="S290" i="17"/>
  <c r="R290" i="17"/>
  <c r="AA322" i="17"/>
  <c r="Z322" i="17"/>
  <c r="Y322" i="17"/>
  <c r="X322" i="17"/>
  <c r="W322" i="17"/>
  <c r="V322" i="17"/>
  <c r="U322" i="17"/>
  <c r="T322" i="17"/>
  <c r="S322" i="17"/>
  <c r="R322" i="17"/>
  <c r="AA354" i="17"/>
  <c r="Z354" i="17"/>
  <c r="Y354" i="17"/>
  <c r="X354" i="17"/>
  <c r="W354" i="17"/>
  <c r="V354" i="17"/>
  <c r="U354" i="17"/>
  <c r="T354" i="17"/>
  <c r="S354" i="17"/>
  <c r="R354" i="17"/>
  <c r="X18" i="17"/>
  <c r="T20" i="17"/>
  <c r="X26" i="17"/>
  <c r="T28" i="17"/>
  <c r="X34" i="17"/>
  <c r="T36" i="17"/>
  <c r="X42" i="17"/>
  <c r="T44" i="17"/>
  <c r="X50" i="17"/>
  <c r="T52" i="17"/>
  <c r="X58" i="17"/>
  <c r="T60" i="17"/>
  <c r="X66" i="17"/>
  <c r="T68" i="17"/>
  <c r="X74" i="17"/>
  <c r="V76" i="17"/>
  <c r="S78" i="17"/>
  <c r="S146" i="17"/>
  <c r="AA158" i="17"/>
  <c r="AA172" i="17"/>
  <c r="Z172" i="17"/>
  <c r="Y172" i="17"/>
  <c r="X172" i="17"/>
  <c r="W172" i="17"/>
  <c r="V172" i="17"/>
  <c r="U172" i="17"/>
  <c r="T172" i="17"/>
  <c r="S172" i="17"/>
  <c r="R172" i="17"/>
  <c r="AA84" i="17"/>
  <c r="Z84" i="17"/>
  <c r="Y84" i="17"/>
  <c r="X84" i="17"/>
  <c r="W84" i="17"/>
  <c r="V84" i="17"/>
  <c r="U84" i="17"/>
  <c r="T84" i="17"/>
  <c r="S84" i="17"/>
  <c r="AA116" i="17"/>
  <c r="Z116" i="17"/>
  <c r="Y116" i="17"/>
  <c r="X116" i="17"/>
  <c r="W116" i="17"/>
  <c r="V116" i="17"/>
  <c r="U116" i="17"/>
  <c r="T116" i="17"/>
  <c r="S116" i="17"/>
  <c r="R116" i="17"/>
  <c r="AA148" i="17"/>
  <c r="Z148" i="17"/>
  <c r="Y148" i="17"/>
  <c r="X148" i="17"/>
  <c r="W148" i="17"/>
  <c r="V148" i="17"/>
  <c r="U148" i="17"/>
  <c r="T148" i="17"/>
  <c r="S148" i="17"/>
  <c r="R148" i="17"/>
  <c r="AA164" i="17"/>
  <c r="Z164" i="17"/>
  <c r="Y164" i="17"/>
  <c r="X164" i="17"/>
  <c r="W164" i="17"/>
  <c r="V164" i="17"/>
  <c r="U164" i="17"/>
  <c r="T164" i="17"/>
  <c r="S164" i="17"/>
  <c r="R164" i="17"/>
  <c r="AA196" i="17"/>
  <c r="Z196" i="17"/>
  <c r="Y196" i="17"/>
  <c r="X196" i="17"/>
  <c r="W196" i="17"/>
  <c r="V196" i="17"/>
  <c r="U196" i="17"/>
  <c r="T196" i="17"/>
  <c r="S196" i="17"/>
  <c r="R196" i="17"/>
  <c r="Z212" i="17"/>
  <c r="Y212" i="17"/>
  <c r="X212" i="17"/>
  <c r="W212" i="17"/>
  <c r="V212" i="17"/>
  <c r="U212" i="17"/>
  <c r="T212" i="17"/>
  <c r="S212" i="17"/>
  <c r="R212" i="17"/>
  <c r="AA212" i="17"/>
  <c r="W244" i="17"/>
  <c r="V244" i="17"/>
  <c r="U244" i="17"/>
  <c r="T244" i="17"/>
  <c r="S244" i="17"/>
  <c r="R244" i="17"/>
  <c r="AA244" i="17"/>
  <c r="Z244" i="17"/>
  <c r="X244" i="17"/>
  <c r="W260" i="17"/>
  <c r="V260" i="17"/>
  <c r="U260" i="17"/>
  <c r="T260" i="17"/>
  <c r="S260" i="17"/>
  <c r="R260" i="17"/>
  <c r="AA260" i="17"/>
  <c r="Z260" i="17"/>
  <c r="X260" i="17"/>
  <c r="W276" i="17"/>
  <c r="V276" i="17"/>
  <c r="U276" i="17"/>
  <c r="T276" i="17"/>
  <c r="S276" i="17"/>
  <c r="R276" i="17"/>
  <c r="AA276" i="17"/>
  <c r="Z276" i="17"/>
  <c r="X276" i="17"/>
  <c r="W292" i="17"/>
  <c r="V292" i="17"/>
  <c r="U292" i="17"/>
  <c r="T292" i="17"/>
  <c r="S292" i="17"/>
  <c r="R292" i="17"/>
  <c r="AA292" i="17"/>
  <c r="Z292" i="17"/>
  <c r="X292" i="17"/>
  <c r="W324" i="17"/>
  <c r="V324" i="17"/>
  <c r="U324" i="17"/>
  <c r="T324" i="17"/>
  <c r="S324" i="17"/>
  <c r="R324" i="17"/>
  <c r="AA324" i="17"/>
  <c r="Z324" i="17"/>
  <c r="X324" i="17"/>
  <c r="W340" i="17"/>
  <c r="V340" i="17"/>
  <c r="U340" i="17"/>
  <c r="T340" i="17"/>
  <c r="S340" i="17"/>
  <c r="R340" i="17"/>
  <c r="AA340" i="17"/>
  <c r="Z340" i="17"/>
  <c r="X340" i="17"/>
  <c r="Y18" i="17"/>
  <c r="U20" i="17"/>
  <c r="Y26" i="17"/>
  <c r="U28" i="17"/>
  <c r="Y34" i="17"/>
  <c r="U36" i="17"/>
  <c r="Y42" i="17"/>
  <c r="U44" i="17"/>
  <c r="Y50" i="17"/>
  <c r="U52" i="17"/>
  <c r="Y58" i="17"/>
  <c r="U60" i="17"/>
  <c r="Y66" i="17"/>
  <c r="U68" i="17"/>
  <c r="Y74" i="17"/>
  <c r="W76" i="17"/>
  <c r="V78" i="17"/>
  <c r="R80" i="17"/>
  <c r="W176" i="17"/>
  <c r="AA188" i="17"/>
  <c r="Z188" i="17"/>
  <c r="Y188" i="17"/>
  <c r="X188" i="17"/>
  <c r="W188" i="17"/>
  <c r="V188" i="17"/>
  <c r="U188" i="17"/>
  <c r="T188" i="17"/>
  <c r="S188" i="17"/>
  <c r="R188" i="17"/>
  <c r="AA100" i="17"/>
  <c r="Z100" i="17"/>
  <c r="Y100" i="17"/>
  <c r="X100" i="17"/>
  <c r="W100" i="17"/>
  <c r="V100" i="17"/>
  <c r="U100" i="17"/>
  <c r="T100" i="17"/>
  <c r="S100" i="17"/>
  <c r="R100" i="17"/>
  <c r="AA132" i="17"/>
  <c r="Z132" i="17"/>
  <c r="Y132" i="17"/>
  <c r="X132" i="17"/>
  <c r="W132" i="17"/>
  <c r="V132" i="17"/>
  <c r="U132" i="17"/>
  <c r="T132" i="17"/>
  <c r="S132" i="17"/>
  <c r="R132" i="17"/>
  <c r="AA180" i="17"/>
  <c r="Z180" i="17"/>
  <c r="Y180" i="17"/>
  <c r="X180" i="17"/>
  <c r="W180" i="17"/>
  <c r="V180" i="17"/>
  <c r="U180" i="17"/>
  <c r="T180" i="17"/>
  <c r="S180" i="17"/>
  <c r="R180" i="17"/>
  <c r="W228" i="17"/>
  <c r="V228" i="17"/>
  <c r="U228" i="17"/>
  <c r="T228" i="17"/>
  <c r="S228" i="17"/>
  <c r="R228" i="17"/>
  <c r="AA228" i="17"/>
  <c r="Z228" i="17"/>
  <c r="X228" i="17"/>
  <c r="W308" i="17"/>
  <c r="V308" i="17"/>
  <c r="U308" i="17"/>
  <c r="T308" i="17"/>
  <c r="S308" i="17"/>
  <c r="R308" i="17"/>
  <c r="AA308" i="17"/>
  <c r="Z308" i="17"/>
  <c r="X308" i="17"/>
  <c r="R14" i="17"/>
  <c r="Z18" i="17"/>
  <c r="V20" i="17"/>
  <c r="R22" i="17"/>
  <c r="Z26" i="17"/>
  <c r="V28" i="17"/>
  <c r="R30" i="17"/>
  <c r="Z34" i="17"/>
  <c r="V36" i="17"/>
  <c r="R38" i="17"/>
  <c r="Z42" i="17"/>
  <c r="V44" i="17"/>
  <c r="R46" i="17"/>
  <c r="Z50" i="17"/>
  <c r="V52" i="17"/>
  <c r="R54" i="17"/>
  <c r="Z58" i="17"/>
  <c r="V60" i="17"/>
  <c r="R62" i="17"/>
  <c r="Z66" i="17"/>
  <c r="V68" i="17"/>
  <c r="R70" i="17"/>
  <c r="Z74" i="17"/>
  <c r="W78" i="17"/>
  <c r="S80" i="17"/>
  <c r="R82" i="17"/>
  <c r="S114" i="17"/>
  <c r="S194" i="17"/>
  <c r="U206" i="17"/>
  <c r="AA222" i="17"/>
  <c r="Y228" i="17"/>
  <c r="Y292" i="17"/>
  <c r="U76" i="17"/>
  <c r="T76" i="17"/>
  <c r="W332" i="17"/>
  <c r="V332" i="17"/>
  <c r="U332" i="17"/>
  <c r="T332" i="17"/>
  <c r="S332" i="17"/>
  <c r="R332" i="17"/>
  <c r="AA332" i="17"/>
  <c r="Z332" i="17"/>
  <c r="X332" i="17"/>
  <c r="Y102" i="17"/>
  <c r="X102" i="17"/>
  <c r="W102" i="17"/>
  <c r="V102" i="17"/>
  <c r="U102" i="17"/>
  <c r="T102" i="17"/>
  <c r="S102" i="17"/>
  <c r="R102" i="17"/>
  <c r="Z102" i="17"/>
  <c r="Y134" i="17"/>
  <c r="X134" i="17"/>
  <c r="W134" i="17"/>
  <c r="V134" i="17"/>
  <c r="U134" i="17"/>
  <c r="T134" i="17"/>
  <c r="S134" i="17"/>
  <c r="R134" i="17"/>
  <c r="Z134" i="17"/>
  <c r="Y150" i="17"/>
  <c r="X150" i="17"/>
  <c r="W150" i="17"/>
  <c r="V150" i="17"/>
  <c r="U150" i="17"/>
  <c r="T150" i="17"/>
  <c r="S150" i="17"/>
  <c r="R150" i="17"/>
  <c r="Z150" i="17"/>
  <c r="Y166" i="17"/>
  <c r="X166" i="17"/>
  <c r="W166" i="17"/>
  <c r="V166" i="17"/>
  <c r="U166" i="17"/>
  <c r="T166" i="17"/>
  <c r="S166" i="17"/>
  <c r="R166" i="17"/>
  <c r="Z166" i="17"/>
  <c r="Y182" i="17"/>
  <c r="X182" i="17"/>
  <c r="W182" i="17"/>
  <c r="V182" i="17"/>
  <c r="U182" i="17"/>
  <c r="T182" i="17"/>
  <c r="S182" i="17"/>
  <c r="R182" i="17"/>
  <c r="Z182" i="17"/>
  <c r="Y198" i="17"/>
  <c r="X198" i="17"/>
  <c r="W198" i="17"/>
  <c r="V198" i="17"/>
  <c r="U198" i="17"/>
  <c r="T198" i="17"/>
  <c r="S198" i="17"/>
  <c r="R198" i="17"/>
  <c r="Z198" i="17"/>
  <c r="S230" i="17"/>
  <c r="R230" i="17"/>
  <c r="AA230" i="17"/>
  <c r="Z230" i="17"/>
  <c r="Y230" i="17"/>
  <c r="X230" i="17"/>
  <c r="W230" i="17"/>
  <c r="V230" i="17"/>
  <c r="T230" i="17"/>
  <c r="S246" i="17"/>
  <c r="R246" i="17"/>
  <c r="AA246" i="17"/>
  <c r="Z246" i="17"/>
  <c r="Y246" i="17"/>
  <c r="X246" i="17"/>
  <c r="W246" i="17"/>
  <c r="V246" i="17"/>
  <c r="T246" i="17"/>
  <c r="S262" i="17"/>
  <c r="R262" i="17"/>
  <c r="AA262" i="17"/>
  <c r="Z262" i="17"/>
  <c r="Y262" i="17"/>
  <c r="X262" i="17"/>
  <c r="W262" i="17"/>
  <c r="V262" i="17"/>
  <c r="T262" i="17"/>
  <c r="S278" i="17"/>
  <c r="R278" i="17"/>
  <c r="AA278" i="17"/>
  <c r="Z278" i="17"/>
  <c r="Y278" i="17"/>
  <c r="X278" i="17"/>
  <c r="W278" i="17"/>
  <c r="V278" i="17"/>
  <c r="T278" i="17"/>
  <c r="S294" i="17"/>
  <c r="R294" i="17"/>
  <c r="AA294" i="17"/>
  <c r="Z294" i="17"/>
  <c r="Y294" i="17"/>
  <c r="X294" i="17"/>
  <c r="W294" i="17"/>
  <c r="V294" i="17"/>
  <c r="T294" i="17"/>
  <c r="S310" i="17"/>
  <c r="R310" i="17"/>
  <c r="AA310" i="17"/>
  <c r="Z310" i="17"/>
  <c r="Y310" i="17"/>
  <c r="X310" i="17"/>
  <c r="W310" i="17"/>
  <c r="V310" i="17"/>
  <c r="T310" i="17"/>
  <c r="S342" i="17"/>
  <c r="R342" i="17"/>
  <c r="AA342" i="17"/>
  <c r="Z342" i="17"/>
  <c r="Y342" i="17"/>
  <c r="X342" i="17"/>
  <c r="W342" i="17"/>
  <c r="V342" i="17"/>
  <c r="T342" i="17"/>
  <c r="S14" i="17"/>
  <c r="W20" i="17"/>
  <c r="S22" i="17"/>
  <c r="W28" i="17"/>
  <c r="S30" i="17"/>
  <c r="W36" i="17"/>
  <c r="S38" i="17"/>
  <c r="W44" i="17"/>
  <c r="S46" i="17"/>
  <c r="W52" i="17"/>
  <c r="S54" i="17"/>
  <c r="W60" i="17"/>
  <c r="S62" i="17"/>
  <c r="W68" i="17"/>
  <c r="S70" i="17"/>
  <c r="Y76" i="17"/>
  <c r="X78" i="17"/>
  <c r="V80" i="17"/>
  <c r="S82" i="17"/>
  <c r="R92" i="17"/>
  <c r="U114" i="17"/>
  <c r="W120" i="17"/>
  <c r="U286" i="17"/>
  <c r="U350" i="17"/>
  <c r="W316" i="17"/>
  <c r="V316" i="17"/>
  <c r="U316" i="17"/>
  <c r="T316" i="17"/>
  <c r="S316" i="17"/>
  <c r="R316" i="17"/>
  <c r="AA316" i="17"/>
  <c r="Z316" i="17"/>
  <c r="X316" i="17"/>
  <c r="Y86" i="17"/>
  <c r="X86" i="17"/>
  <c r="W86" i="17"/>
  <c r="V86" i="17"/>
  <c r="U86" i="17"/>
  <c r="T86" i="17"/>
  <c r="S86" i="17"/>
  <c r="R86" i="17"/>
  <c r="Y118" i="17"/>
  <c r="X118" i="17"/>
  <c r="W118" i="17"/>
  <c r="V118" i="17"/>
  <c r="U118" i="17"/>
  <c r="T118" i="17"/>
  <c r="S118" i="17"/>
  <c r="R118" i="17"/>
  <c r="Z118" i="17"/>
  <c r="S326" i="17"/>
  <c r="R326" i="17"/>
  <c r="AA326" i="17"/>
  <c r="Z326" i="17"/>
  <c r="Y326" i="17"/>
  <c r="X326" i="17"/>
  <c r="W326" i="17"/>
  <c r="V326" i="17"/>
  <c r="T326" i="17"/>
  <c r="T14" i="17"/>
  <c r="X20" i="17"/>
  <c r="T22" i="17"/>
  <c r="X28" i="17"/>
  <c r="T30" i="17"/>
  <c r="X36" i="17"/>
  <c r="T38" i="17"/>
  <c r="X44" i="17"/>
  <c r="T46" i="17"/>
  <c r="X52" i="17"/>
  <c r="T54" i="17"/>
  <c r="X60" i="17"/>
  <c r="T62" i="17"/>
  <c r="X68" i="17"/>
  <c r="T70" i="17"/>
  <c r="Z76" i="17"/>
  <c r="Y78" i="17"/>
  <c r="W80" i="17"/>
  <c r="U82" i="17"/>
  <c r="AA126" i="17"/>
  <c r="Y268" i="17"/>
  <c r="Y332" i="17"/>
  <c r="W284" i="17"/>
  <c r="V284" i="17"/>
  <c r="U284" i="17"/>
  <c r="T284" i="17"/>
  <c r="S284" i="17"/>
  <c r="R284" i="17"/>
  <c r="AA284" i="17"/>
  <c r="Z284" i="17"/>
  <c r="X284" i="17"/>
  <c r="U104" i="17"/>
  <c r="T104" i="17"/>
  <c r="S104" i="17"/>
  <c r="R104" i="17"/>
  <c r="AA104" i="17"/>
  <c r="Z104" i="17"/>
  <c r="X104" i="17"/>
  <c r="V104" i="17"/>
  <c r="U136" i="17"/>
  <c r="T136" i="17"/>
  <c r="S136" i="17"/>
  <c r="R136" i="17"/>
  <c r="AA136" i="17"/>
  <c r="Z136" i="17"/>
  <c r="Y136" i="17"/>
  <c r="X136" i="17"/>
  <c r="V136" i="17"/>
  <c r="U168" i="17"/>
  <c r="T168" i="17"/>
  <c r="S168" i="17"/>
  <c r="R168" i="17"/>
  <c r="AA168" i="17"/>
  <c r="Z168" i="17"/>
  <c r="Y168" i="17"/>
  <c r="X168" i="17"/>
  <c r="V168" i="17"/>
  <c r="U184" i="17"/>
  <c r="T184" i="17"/>
  <c r="S184" i="17"/>
  <c r="R184" i="17"/>
  <c r="AA184" i="17"/>
  <c r="Z184" i="17"/>
  <c r="Y184" i="17"/>
  <c r="X184" i="17"/>
  <c r="V184" i="17"/>
  <c r="U216" i="17"/>
  <c r="T216" i="17"/>
  <c r="S216" i="17"/>
  <c r="R216" i="17"/>
  <c r="AA216" i="17"/>
  <c r="Z216" i="17"/>
  <c r="Y216" i="17"/>
  <c r="X216" i="17"/>
  <c r="V216" i="17"/>
  <c r="AA248" i="17"/>
  <c r="Z248" i="17"/>
  <c r="Y248" i="17"/>
  <c r="X248" i="17"/>
  <c r="W248" i="17"/>
  <c r="V248" i="17"/>
  <c r="U248" i="17"/>
  <c r="T248" i="17"/>
  <c r="S248" i="17"/>
  <c r="R248" i="17"/>
  <c r="AA280" i="17"/>
  <c r="Z280" i="17"/>
  <c r="Y280" i="17"/>
  <c r="X280" i="17"/>
  <c r="W280" i="17"/>
  <c r="V280" i="17"/>
  <c r="U280" i="17"/>
  <c r="T280" i="17"/>
  <c r="S280" i="17"/>
  <c r="R280" i="17"/>
  <c r="AA296" i="17"/>
  <c r="Z296" i="17"/>
  <c r="Y296" i="17"/>
  <c r="X296" i="17"/>
  <c r="W296" i="17"/>
  <c r="V296" i="17"/>
  <c r="U296" i="17"/>
  <c r="T296" i="17"/>
  <c r="S296" i="17"/>
  <c r="R296" i="17"/>
  <c r="AA344" i="17"/>
  <c r="Z344" i="17"/>
  <c r="Y344" i="17"/>
  <c r="X344" i="17"/>
  <c r="W344" i="17"/>
  <c r="V344" i="17"/>
  <c r="U344" i="17"/>
  <c r="T344" i="17"/>
  <c r="S344" i="17"/>
  <c r="R344" i="17"/>
  <c r="U14" i="17"/>
  <c r="Y20" i="17"/>
  <c r="U22" i="17"/>
  <c r="Y28" i="17"/>
  <c r="U30" i="17"/>
  <c r="Y36" i="17"/>
  <c r="U38" i="17"/>
  <c r="Y44" i="17"/>
  <c r="U46" i="17"/>
  <c r="Y52" i="17"/>
  <c r="U54" i="17"/>
  <c r="Y60" i="17"/>
  <c r="U62" i="17"/>
  <c r="Y68" i="17"/>
  <c r="U70" i="17"/>
  <c r="AA76" i="17"/>
  <c r="Z78" i="17"/>
  <c r="X80" i="17"/>
  <c r="V82" i="17"/>
  <c r="R90" i="17"/>
  <c r="S106" i="17"/>
  <c r="S138" i="17"/>
  <c r="W144" i="17"/>
  <c r="AA150" i="17"/>
  <c r="U262" i="17"/>
  <c r="U326" i="17"/>
  <c r="AA220" i="17"/>
  <c r="Z220" i="17"/>
  <c r="Y220" i="17"/>
  <c r="X220" i="17"/>
  <c r="W220" i="17"/>
  <c r="V220" i="17"/>
  <c r="U220" i="17"/>
  <c r="T220" i="17"/>
  <c r="S220" i="17"/>
  <c r="R220" i="17"/>
  <c r="U88" i="17"/>
  <c r="T88" i="17"/>
  <c r="S88" i="17"/>
  <c r="R88" i="17"/>
  <c r="AA88" i="17"/>
  <c r="X88" i="17"/>
  <c r="U120" i="17"/>
  <c r="T120" i="17"/>
  <c r="S120" i="17"/>
  <c r="R120" i="17"/>
  <c r="AA120" i="17"/>
  <c r="Z120" i="17"/>
  <c r="X120" i="17"/>
  <c r="V120" i="17"/>
  <c r="U152" i="17"/>
  <c r="T152" i="17"/>
  <c r="S152" i="17"/>
  <c r="R152" i="17"/>
  <c r="AA152" i="17"/>
  <c r="Z152" i="17"/>
  <c r="Y152" i="17"/>
  <c r="X152" i="17"/>
  <c r="V152" i="17"/>
  <c r="U200" i="17"/>
  <c r="T200" i="17"/>
  <c r="S200" i="17"/>
  <c r="R200" i="17"/>
  <c r="AA200" i="17"/>
  <c r="Z200" i="17"/>
  <c r="Y200" i="17"/>
  <c r="X200" i="17"/>
  <c r="V200" i="17"/>
  <c r="AA232" i="17"/>
  <c r="Z232" i="17"/>
  <c r="Y232" i="17"/>
  <c r="X232" i="17"/>
  <c r="W232" i="17"/>
  <c r="V232" i="17"/>
  <c r="U232" i="17"/>
  <c r="T232" i="17"/>
  <c r="S232" i="17"/>
  <c r="R232" i="17"/>
  <c r="AA264" i="17"/>
  <c r="Z264" i="17"/>
  <c r="Y264" i="17"/>
  <c r="X264" i="17"/>
  <c r="W264" i="17"/>
  <c r="V264" i="17"/>
  <c r="U264" i="17"/>
  <c r="T264" i="17"/>
  <c r="S264" i="17"/>
  <c r="R264" i="17"/>
  <c r="AA312" i="17"/>
  <c r="Z312" i="17"/>
  <c r="Y312" i="17"/>
  <c r="X312" i="17"/>
  <c r="W312" i="17"/>
  <c r="V312" i="17"/>
  <c r="U312" i="17"/>
  <c r="T312" i="17"/>
  <c r="S312" i="17"/>
  <c r="R312" i="17"/>
  <c r="AA328" i="17"/>
  <c r="Z328" i="17"/>
  <c r="Y328" i="17"/>
  <c r="X328" i="17"/>
  <c r="W328" i="17"/>
  <c r="V328" i="17"/>
  <c r="U328" i="17"/>
  <c r="T328" i="17"/>
  <c r="S328" i="17"/>
  <c r="R328" i="17"/>
  <c r="V14" i="17"/>
  <c r="R16" i="17"/>
  <c r="Z20" i="17"/>
  <c r="V22" i="17"/>
  <c r="R24" i="17"/>
  <c r="Z28" i="17"/>
  <c r="V30" i="17"/>
  <c r="R32" i="17"/>
  <c r="Z36" i="17"/>
  <c r="V38" i="17"/>
  <c r="R40" i="17"/>
  <c r="Z44" i="17"/>
  <c r="V46" i="17"/>
  <c r="R48" i="17"/>
  <c r="Z52" i="17"/>
  <c r="V54" i="17"/>
  <c r="R56" i="17"/>
  <c r="Z60" i="17"/>
  <c r="V62" i="17"/>
  <c r="R64" i="17"/>
  <c r="Z68" i="17"/>
  <c r="V70" i="17"/>
  <c r="R72" i="17"/>
  <c r="AA78" i="17"/>
  <c r="Y80" i="17"/>
  <c r="U106" i="17"/>
  <c r="W112" i="17"/>
  <c r="S162" i="17"/>
  <c r="W168" i="17"/>
  <c r="AA174" i="17"/>
  <c r="Y244" i="17"/>
  <c r="Y308" i="17"/>
  <c r="W252" i="17"/>
  <c r="V252" i="17"/>
  <c r="U252" i="17"/>
  <c r="T252" i="17"/>
  <c r="S252" i="17"/>
  <c r="R252" i="17"/>
  <c r="AA252" i="17"/>
  <c r="Z252" i="17"/>
  <c r="X252" i="17"/>
  <c r="AA90" i="17"/>
  <c r="Z90" i="17"/>
  <c r="Y90" i="17"/>
  <c r="X90" i="17"/>
  <c r="W90" i="17"/>
  <c r="T90" i="17"/>
  <c r="AA122" i="17"/>
  <c r="Z122" i="17"/>
  <c r="Y122" i="17"/>
  <c r="X122" i="17"/>
  <c r="W122" i="17"/>
  <c r="V122" i="17"/>
  <c r="U122" i="17"/>
  <c r="T122" i="17"/>
  <c r="R122" i="17"/>
  <c r="AA154" i="17"/>
  <c r="Z154" i="17"/>
  <c r="Y154" i="17"/>
  <c r="X154" i="17"/>
  <c r="W154" i="17"/>
  <c r="V154" i="17"/>
  <c r="U154" i="17"/>
  <c r="T154" i="17"/>
  <c r="R154" i="17"/>
  <c r="AA170" i="17"/>
  <c r="Z170" i="17"/>
  <c r="Y170" i="17"/>
  <c r="X170" i="17"/>
  <c r="W170" i="17"/>
  <c r="V170" i="17"/>
  <c r="U170" i="17"/>
  <c r="T170" i="17"/>
  <c r="R170" i="17"/>
  <c r="AA186" i="17"/>
  <c r="Z186" i="17"/>
  <c r="Y186" i="17"/>
  <c r="X186" i="17"/>
  <c r="W186" i="17"/>
  <c r="V186" i="17"/>
  <c r="U186" i="17"/>
  <c r="T186" i="17"/>
  <c r="R186" i="17"/>
  <c r="AA218" i="17"/>
  <c r="Z218" i="17"/>
  <c r="Y218" i="17"/>
  <c r="X218" i="17"/>
  <c r="W218" i="17"/>
  <c r="V218" i="17"/>
  <c r="U218" i="17"/>
  <c r="T218" i="17"/>
  <c r="R218" i="17"/>
  <c r="AA266" i="17"/>
  <c r="Z266" i="17"/>
  <c r="Y266" i="17"/>
  <c r="X266" i="17"/>
  <c r="W266" i="17"/>
  <c r="V266" i="17"/>
  <c r="U266" i="17"/>
  <c r="T266" i="17"/>
  <c r="S266" i="17"/>
  <c r="R266" i="17"/>
  <c r="AA298" i="17"/>
  <c r="Z298" i="17"/>
  <c r="Y298" i="17"/>
  <c r="X298" i="17"/>
  <c r="W298" i="17"/>
  <c r="V298" i="17"/>
  <c r="U298" i="17"/>
  <c r="T298" i="17"/>
  <c r="S298" i="17"/>
  <c r="R298" i="17"/>
  <c r="AA346" i="17"/>
  <c r="Z346" i="17"/>
  <c r="Y346" i="17"/>
  <c r="X346" i="17"/>
  <c r="W346" i="17"/>
  <c r="V346" i="17"/>
  <c r="U346" i="17"/>
  <c r="T346" i="17"/>
  <c r="S346" i="17"/>
  <c r="R346" i="17"/>
  <c r="Z80" i="17"/>
  <c r="V88" i="17"/>
  <c r="U90" i="17"/>
  <c r="R98" i="17"/>
  <c r="Y112" i="17"/>
  <c r="S186" i="17"/>
  <c r="W192" i="17"/>
  <c r="AA198" i="17"/>
  <c r="Y204" i="17"/>
  <c r="T214" i="17"/>
  <c r="U238" i="17"/>
  <c r="U302" i="17"/>
  <c r="R202" i="17"/>
  <c r="S202" i="17"/>
  <c r="T202" i="17"/>
  <c r="U202" i="17"/>
  <c r="X202" i="17"/>
  <c r="Y202" i="17"/>
  <c r="Z202" i="17"/>
  <c r="V202" i="17"/>
  <c r="W202" i="17"/>
  <c r="R226" i="17"/>
  <c r="S226" i="17"/>
  <c r="T226" i="17"/>
  <c r="U226" i="17"/>
  <c r="V226" i="17"/>
  <c r="W226" i="17"/>
  <c r="X226" i="17"/>
  <c r="Y226" i="17"/>
  <c r="Z226" i="17"/>
  <c r="U214" i="17"/>
  <c r="V214" i="17"/>
  <c r="W214" i="17"/>
  <c r="X214" i="17"/>
  <c r="Y214" i="17"/>
  <c r="Z214" i="17"/>
  <c r="AA214" i="17"/>
  <c r="R214" i="17"/>
  <c r="R213" i="17"/>
  <c r="S213" i="17"/>
  <c r="T213" i="17"/>
  <c r="U213" i="17"/>
  <c r="V213" i="17"/>
  <c r="W213" i="17"/>
  <c r="X213" i="17"/>
  <c r="Y213" i="17"/>
  <c r="Z213" i="17"/>
  <c r="Z207" i="17"/>
  <c r="R208" i="17"/>
  <c r="T208" i="17"/>
  <c r="U208" i="17"/>
  <c r="V208" i="17"/>
  <c r="W208" i="17"/>
  <c r="X208" i="17"/>
  <c r="Y208" i="17"/>
  <c r="Z208" i="17"/>
  <c r="AA207" i="17"/>
  <c r="R207" i="17"/>
  <c r="S207" i="17"/>
  <c r="T207" i="17"/>
  <c r="U207" i="17"/>
  <c r="V207" i="17"/>
  <c r="W207" i="17"/>
  <c r="X207" i="17"/>
  <c r="Q11" i="17" l="1"/>
  <c r="Q12" i="17"/>
  <c r="Q9" i="17"/>
  <c r="Q10" i="17"/>
  <c r="Q8" i="17"/>
  <c r="R8" i="17" s="1"/>
  <c r="Q7" i="17"/>
  <c r="Q50" i="5"/>
  <c r="R50" i="5" s="1"/>
  <c r="Q49" i="5"/>
  <c r="R49" i="5" s="1"/>
  <c r="Q48" i="5"/>
  <c r="R48" i="5" s="1"/>
  <c r="Q47" i="5"/>
  <c r="R47" i="5" s="1"/>
  <c r="Q46" i="5"/>
  <c r="X46" i="5" s="1"/>
  <c r="S45" i="5"/>
  <c r="Q26" i="5"/>
  <c r="Z26" i="5" s="1"/>
  <c r="Q25" i="5"/>
  <c r="S25" i="5" s="1"/>
  <c r="Q24" i="5"/>
  <c r="R24" i="5" s="1"/>
  <c r="Q23" i="5"/>
  <c r="R23" i="5" s="1"/>
  <c r="Q22" i="5"/>
  <c r="R22" i="5" s="1"/>
  <c r="Q21" i="5"/>
  <c r="R21" i="5" s="1"/>
  <c r="Q20" i="5"/>
  <c r="R20" i="5" s="1"/>
  <c r="Q19" i="5"/>
  <c r="R19" i="5" s="1"/>
  <c r="Q18" i="5"/>
  <c r="R18" i="5" s="1"/>
  <c r="Q17" i="5"/>
  <c r="R17" i="5" s="1"/>
  <c r="Q16" i="5"/>
  <c r="R16" i="5" s="1"/>
  <c r="Q15" i="5"/>
  <c r="X15" i="5" s="1"/>
  <c r="Q14" i="5"/>
  <c r="V14" i="5" s="1"/>
  <c r="Q13" i="5"/>
  <c r="S13" i="5" s="1"/>
  <c r="Q12" i="5"/>
  <c r="X12" i="5" s="1"/>
  <c r="Q11" i="5"/>
  <c r="Q10" i="5"/>
  <c r="Z10" i="5" s="1"/>
  <c r="Q9" i="5"/>
  <c r="S9" i="5" s="1"/>
  <c r="S11" i="5" l="1"/>
  <c r="R11" i="5"/>
  <c r="S27" i="5"/>
  <c r="T27" i="5"/>
  <c r="U27" i="5"/>
  <c r="V27" i="5"/>
  <c r="W27" i="5"/>
  <c r="R27" i="5"/>
  <c r="X27" i="5"/>
  <c r="Y27" i="5"/>
  <c r="Z27" i="5"/>
  <c r="AA27" i="5"/>
  <c r="AA10" i="17"/>
  <c r="Z10" i="17"/>
  <c r="Y10" i="17"/>
  <c r="X10" i="17"/>
  <c r="W10" i="17"/>
  <c r="V10" i="17"/>
  <c r="U10" i="17"/>
  <c r="T10" i="17"/>
  <c r="S10" i="17"/>
  <c r="R10" i="17"/>
  <c r="AA12" i="17"/>
  <c r="Z12" i="17"/>
  <c r="Y12" i="17"/>
  <c r="X12" i="17"/>
  <c r="W12" i="17"/>
  <c r="V12" i="17"/>
  <c r="U12" i="17"/>
  <c r="T12" i="17"/>
  <c r="S12" i="17"/>
  <c r="R12" i="17"/>
  <c r="S7" i="17"/>
  <c r="T7" i="17"/>
  <c r="U7" i="17"/>
  <c r="V7" i="17"/>
  <c r="W7" i="17"/>
  <c r="X7" i="17"/>
  <c r="Y7" i="17"/>
  <c r="Z7" i="17"/>
  <c r="AA7" i="17"/>
  <c r="Z8" i="17"/>
  <c r="AA8" i="17"/>
  <c r="S8" i="17"/>
  <c r="T8" i="17"/>
  <c r="U8" i="17"/>
  <c r="V8" i="17"/>
  <c r="W8" i="17"/>
  <c r="Y8" i="17"/>
  <c r="X8" i="17"/>
  <c r="R7" i="17"/>
  <c r="R10" i="5"/>
  <c r="W46" i="5"/>
  <c r="V46" i="5"/>
  <c r="R9" i="5"/>
  <c r="Z23" i="5"/>
  <c r="U17" i="5"/>
  <c r="W15" i="5"/>
  <c r="Y10" i="5"/>
  <c r="Y23" i="5"/>
  <c r="AA21" i="5"/>
  <c r="T17" i="5"/>
  <c r="V15" i="5"/>
  <c r="X10" i="5"/>
  <c r="U46" i="5"/>
  <c r="X23" i="5"/>
  <c r="Z21" i="5"/>
  <c r="S17" i="5"/>
  <c r="U15" i="5"/>
  <c r="W10" i="5"/>
  <c r="S22" i="5"/>
  <c r="AA47" i="5"/>
  <c r="T46" i="5"/>
  <c r="W23" i="5"/>
  <c r="Y21" i="5"/>
  <c r="AA16" i="5"/>
  <c r="T15" i="5"/>
  <c r="V10" i="5"/>
  <c r="Z47" i="5"/>
  <c r="S46" i="5"/>
  <c r="V23" i="5"/>
  <c r="X21" i="5"/>
  <c r="Z16" i="5"/>
  <c r="S15" i="5"/>
  <c r="U10" i="5"/>
  <c r="Y47" i="5"/>
  <c r="AA45" i="5"/>
  <c r="U23" i="5"/>
  <c r="W21" i="5"/>
  <c r="Y16" i="5"/>
  <c r="AA11" i="5"/>
  <c r="T10" i="5"/>
  <c r="X47" i="5"/>
  <c r="Z45" i="5"/>
  <c r="T23" i="5"/>
  <c r="V21" i="5"/>
  <c r="X16" i="5"/>
  <c r="Z11" i="5"/>
  <c r="S10" i="5"/>
  <c r="W47" i="5"/>
  <c r="Y45" i="5"/>
  <c r="S23" i="5"/>
  <c r="U21" i="5"/>
  <c r="W16" i="5"/>
  <c r="Y11" i="5"/>
  <c r="AA9" i="5"/>
  <c r="V47" i="5"/>
  <c r="X45" i="5"/>
  <c r="AA22" i="5"/>
  <c r="T21" i="5"/>
  <c r="V16" i="5"/>
  <c r="X11" i="5"/>
  <c r="Z9" i="5"/>
  <c r="U47" i="5"/>
  <c r="W45" i="5"/>
  <c r="Z22" i="5"/>
  <c r="S21" i="5"/>
  <c r="U16" i="5"/>
  <c r="W11" i="5"/>
  <c r="Y9" i="5"/>
  <c r="T47" i="5"/>
  <c r="V45" i="5"/>
  <c r="Y22" i="5"/>
  <c r="AA17" i="5"/>
  <c r="T16" i="5"/>
  <c r="V11" i="5"/>
  <c r="X9" i="5"/>
  <c r="S47" i="5"/>
  <c r="U45" i="5"/>
  <c r="X22" i="5"/>
  <c r="Z17" i="5"/>
  <c r="S16" i="5"/>
  <c r="U11" i="5"/>
  <c r="W9" i="5"/>
  <c r="AA46" i="5"/>
  <c r="T45" i="5"/>
  <c r="W22" i="5"/>
  <c r="Y17" i="5"/>
  <c r="AA15" i="5"/>
  <c r="T11" i="5"/>
  <c r="V9" i="5"/>
  <c r="Z46" i="5"/>
  <c r="V22" i="5"/>
  <c r="X17" i="5"/>
  <c r="Z15" i="5"/>
  <c r="U9" i="5"/>
  <c r="U22" i="5"/>
  <c r="W17" i="5"/>
  <c r="Y15" i="5"/>
  <c r="AA10" i="5"/>
  <c r="T9" i="5"/>
  <c r="Y46" i="5"/>
  <c r="AA23" i="5"/>
  <c r="T22" i="5"/>
  <c r="V17" i="5"/>
  <c r="U14" i="5"/>
  <c r="T14" i="5"/>
  <c r="W12" i="5"/>
  <c r="X19" i="5"/>
  <c r="V12" i="5"/>
  <c r="Y26" i="5"/>
  <c r="W19" i="5"/>
  <c r="X26" i="5"/>
  <c r="AA24" i="5"/>
  <c r="Z24" i="5"/>
  <c r="Z49" i="5"/>
  <c r="S48" i="5"/>
  <c r="Y49" i="5"/>
  <c r="X49" i="5"/>
  <c r="W26" i="5"/>
  <c r="Y24" i="5"/>
  <c r="V19" i="5"/>
  <c r="S14" i="5"/>
  <c r="U12" i="5"/>
  <c r="V26" i="5"/>
  <c r="X24" i="5"/>
  <c r="U19" i="5"/>
  <c r="AA13" i="5"/>
  <c r="T12" i="5"/>
  <c r="V49" i="5"/>
  <c r="U26" i="5"/>
  <c r="W24" i="5"/>
  <c r="AA20" i="5"/>
  <c r="T19" i="5"/>
  <c r="Z13" i="5"/>
  <c r="S12" i="5"/>
  <c r="W49" i="5"/>
  <c r="U49" i="5"/>
  <c r="T26" i="5"/>
  <c r="V24" i="5"/>
  <c r="Z20" i="5"/>
  <c r="S19" i="5"/>
  <c r="Y13" i="5"/>
  <c r="AA50" i="5"/>
  <c r="T49" i="5"/>
  <c r="S26" i="5"/>
  <c r="U24" i="5"/>
  <c r="Y20" i="5"/>
  <c r="AA18" i="5"/>
  <c r="X13" i="5"/>
  <c r="Z50" i="5"/>
  <c r="S49" i="5"/>
  <c r="AA25" i="5"/>
  <c r="T24" i="5"/>
  <c r="X20" i="5"/>
  <c r="Z18" i="5"/>
  <c r="W13" i="5"/>
  <c r="Y50" i="5"/>
  <c r="AA48" i="5"/>
  <c r="Z25" i="5"/>
  <c r="S24" i="5"/>
  <c r="W20" i="5"/>
  <c r="Y18" i="5"/>
  <c r="V13" i="5"/>
  <c r="X50" i="5"/>
  <c r="Z48" i="5"/>
  <c r="Y25" i="5"/>
  <c r="V20" i="5"/>
  <c r="X18" i="5"/>
  <c r="U13" i="5"/>
  <c r="W50" i="5"/>
  <c r="Y48" i="5"/>
  <c r="X25" i="5"/>
  <c r="U20" i="5"/>
  <c r="W18" i="5"/>
  <c r="AA14" i="5"/>
  <c r="T13" i="5"/>
  <c r="V50" i="5"/>
  <c r="X48" i="5"/>
  <c r="W25" i="5"/>
  <c r="T20" i="5"/>
  <c r="V18" i="5"/>
  <c r="Z14" i="5"/>
  <c r="U50" i="5"/>
  <c r="W48" i="5"/>
  <c r="V25" i="5"/>
  <c r="S20" i="5"/>
  <c r="U18" i="5"/>
  <c r="Y14" i="5"/>
  <c r="AA12" i="5"/>
  <c r="T50" i="5"/>
  <c r="V48" i="5"/>
  <c r="U25" i="5"/>
  <c r="AA19" i="5"/>
  <c r="T18" i="5"/>
  <c r="X14" i="5"/>
  <c r="Z12" i="5"/>
  <c r="S50" i="5"/>
  <c r="U48" i="5"/>
  <c r="AA26" i="5"/>
  <c r="T25" i="5"/>
  <c r="Z19" i="5"/>
  <c r="S18" i="5"/>
  <c r="W14" i="5"/>
  <c r="Y12" i="5"/>
  <c r="AA49" i="5"/>
  <c r="T48" i="5"/>
  <c r="Y19" i="5"/>
  <c r="R25" i="5"/>
  <c r="R26" i="5"/>
  <c r="R12" i="5"/>
  <c r="R14" i="5"/>
  <c r="R13" i="5"/>
  <c r="R15" i="5"/>
  <c r="R46" i="5"/>
  <c r="R59" i="5" l="1"/>
  <c r="R61" i="5"/>
  <c r="R359" i="17"/>
  <c r="G359" i="17" s="1"/>
  <c r="Z356" i="17"/>
  <c r="O356" i="17" s="1"/>
  <c r="R358" i="17"/>
  <c r="G358" i="17" s="1"/>
  <c r="Y357" i="17"/>
  <c r="N357" i="17" s="1"/>
  <c r="Z357" i="17"/>
  <c r="O357" i="17" s="1"/>
  <c r="X359" i="17"/>
  <c r="M359" i="17" s="1"/>
  <c r="S359" i="17"/>
  <c r="H359" i="17" s="1"/>
  <c r="AA356" i="17"/>
  <c r="P356" i="17" s="1"/>
  <c r="W358" i="17"/>
  <c r="L358" i="17" s="1"/>
  <c r="V356" i="17"/>
  <c r="K356" i="17" s="1"/>
  <c r="X358" i="17"/>
  <c r="M358" i="17" s="1"/>
  <c r="S358" i="17"/>
  <c r="H358" i="17" s="1"/>
  <c r="T355" i="17"/>
  <c r="I355" i="17" s="1"/>
  <c r="I366" i="17" s="1"/>
  <c r="Y358" i="17"/>
  <c r="N358" i="17" s="1"/>
  <c r="U358" i="17"/>
  <c r="J358" i="17" s="1"/>
  <c r="Z358" i="17"/>
  <c r="O358" i="17" s="1"/>
  <c r="T358" i="17"/>
  <c r="I358" i="17" s="1"/>
  <c r="X357" i="17"/>
  <c r="M357" i="17" s="1"/>
  <c r="AA357" i="17"/>
  <c r="P357" i="17" s="1"/>
  <c r="V355" i="17"/>
  <c r="K355" i="17" s="1"/>
  <c r="K366" i="17" s="1"/>
  <c r="Y355" i="17"/>
  <c r="N355" i="17" s="1"/>
  <c r="T356" i="17"/>
  <c r="I356" i="17" s="1"/>
  <c r="V358" i="17"/>
  <c r="K358" i="17" s="1"/>
  <c r="U355" i="17"/>
  <c r="J355" i="17" s="1"/>
  <c r="Z355" i="17"/>
  <c r="O355" i="17" s="1"/>
  <c r="O366" i="17" s="1"/>
  <c r="AA359" i="17"/>
  <c r="P359" i="17" s="1"/>
  <c r="Y356" i="17"/>
  <c r="N356" i="17" s="1"/>
  <c r="W357" i="17"/>
  <c r="L357" i="17" s="1"/>
  <c r="R357" i="17"/>
  <c r="G357" i="17" s="1"/>
  <c r="W359" i="17"/>
  <c r="L359" i="17" s="1"/>
  <c r="U359" i="17"/>
  <c r="J359" i="17" s="1"/>
  <c r="V357" i="17"/>
  <c r="K357" i="17" s="1"/>
  <c r="W355" i="17"/>
  <c r="L355" i="17" s="1"/>
  <c r="L366" i="17" s="1"/>
  <c r="W356" i="17"/>
  <c r="L356" i="17" s="1"/>
  <c r="U356" i="17"/>
  <c r="J356" i="17" s="1"/>
  <c r="T357" i="17"/>
  <c r="I357" i="17" s="1"/>
  <c r="S356" i="17"/>
  <c r="H356" i="17" s="1"/>
  <c r="S355" i="17"/>
  <c r="H355" i="17" s="1"/>
  <c r="Z359" i="17"/>
  <c r="O359" i="17" s="1"/>
  <c r="Y359" i="17"/>
  <c r="N359" i="17" s="1"/>
  <c r="AA355" i="17"/>
  <c r="P355" i="17" s="1"/>
  <c r="X355" i="17"/>
  <c r="M355" i="17" s="1"/>
  <c r="M366" i="17" s="1"/>
  <c r="X356" i="17"/>
  <c r="M356" i="17" s="1"/>
  <c r="T359" i="17"/>
  <c r="I359" i="17" s="1"/>
  <c r="S357" i="17"/>
  <c r="H357" i="17" s="1"/>
  <c r="U357" i="17"/>
  <c r="J357" i="17" s="1"/>
  <c r="V359" i="17"/>
  <c r="K359" i="17" s="1"/>
  <c r="AA358" i="17"/>
  <c r="P358" i="17" s="1"/>
  <c r="R356" i="17"/>
  <c r="G356" i="17" s="1"/>
  <c r="R355" i="17"/>
  <c r="G355" i="17" s="1"/>
  <c r="R58" i="5"/>
  <c r="G58" i="5" s="1"/>
  <c r="R60" i="5"/>
  <c r="G60" i="5" s="1"/>
  <c r="W61" i="5"/>
  <c r="L61" i="5" s="1"/>
  <c r="Y59" i="5"/>
  <c r="N59" i="5" s="1"/>
  <c r="AA61" i="5"/>
  <c r="P61" i="5" s="1"/>
  <c r="W60" i="5"/>
  <c r="L60" i="5" s="1"/>
  <c r="T58" i="5"/>
  <c r="I58" i="5" s="1"/>
  <c r="V58" i="5"/>
  <c r="K58" i="5" s="1"/>
  <c r="V61" i="5"/>
  <c r="K61" i="5" s="1"/>
  <c r="T59" i="5"/>
  <c r="I59" i="5" s="1"/>
  <c r="U59" i="5"/>
  <c r="J59" i="5" s="1"/>
  <c r="S58" i="5"/>
  <c r="H58" i="5" s="1"/>
  <c r="T61" i="5"/>
  <c r="I61" i="5" s="1"/>
  <c r="S60" i="5"/>
  <c r="H60" i="5" s="1"/>
  <c r="Z58" i="5"/>
  <c r="O58" i="5" s="1"/>
  <c r="Z60" i="5"/>
  <c r="O60" i="5" s="1"/>
  <c r="V60" i="5"/>
  <c r="K60" i="5" s="1"/>
  <c r="Z61" i="5"/>
  <c r="O61" i="5" s="1"/>
  <c r="X59" i="5"/>
  <c r="M59" i="5" s="1"/>
  <c r="Y58" i="5"/>
  <c r="N58" i="5" s="1"/>
  <c r="Y60" i="5"/>
  <c r="N60" i="5" s="1"/>
  <c r="Y61" i="5"/>
  <c r="N61" i="5" s="1"/>
  <c r="U60" i="5"/>
  <c r="J60" i="5" s="1"/>
  <c r="U61" i="5"/>
  <c r="J61" i="5" s="1"/>
  <c r="S59" i="5"/>
  <c r="H59" i="5" s="1"/>
  <c r="W59" i="5"/>
  <c r="L59" i="5" s="1"/>
  <c r="AA59" i="5"/>
  <c r="P59" i="5" s="1"/>
  <c r="U58" i="5"/>
  <c r="J58" i="5" s="1"/>
  <c r="X58" i="5"/>
  <c r="M58" i="5" s="1"/>
  <c r="X60" i="5"/>
  <c r="M60" i="5" s="1"/>
  <c r="X61" i="5"/>
  <c r="M61" i="5" s="1"/>
  <c r="S61" i="5"/>
  <c r="H61" i="5" s="1"/>
  <c r="V59" i="5"/>
  <c r="K59" i="5" s="1"/>
  <c r="T60" i="5"/>
  <c r="I60" i="5" s="1"/>
  <c r="AA58" i="5"/>
  <c r="P58" i="5" s="1"/>
  <c r="Z59" i="5"/>
  <c r="O59" i="5" s="1"/>
  <c r="W58" i="5"/>
  <c r="L58" i="5" s="1"/>
  <c r="AA60" i="5"/>
  <c r="P60" i="5" s="1"/>
  <c r="G61" i="5"/>
  <c r="G59" i="5"/>
  <c r="R57" i="5"/>
  <c r="G57" i="5" s="1"/>
  <c r="T57" i="5"/>
  <c r="I57" i="5" s="1"/>
  <c r="Z57" i="5"/>
  <c r="O57" i="5" s="1"/>
  <c r="S57" i="5"/>
  <c r="X57" i="5"/>
  <c r="M57" i="5" s="1"/>
  <c r="AA57" i="5"/>
  <c r="P57" i="5" s="1"/>
  <c r="U57" i="5"/>
  <c r="V57" i="5"/>
  <c r="K57" i="5" s="1"/>
  <c r="W57" i="5"/>
  <c r="L57" i="5" s="1"/>
  <c r="Y57" i="5"/>
  <c r="H366" i="17" l="1"/>
  <c r="G366" i="17"/>
  <c r="N366" i="17"/>
  <c r="P366" i="17"/>
  <c r="J366" i="17"/>
  <c r="G362" i="17"/>
  <c r="G361" i="17" s="1"/>
  <c r="G64" i="5"/>
  <c r="G63" i="5" l="1"/>
  <c r="G67" i="5"/>
  <c r="H361" i="17"/>
  <c r="O361" i="17"/>
  <c r="P361" i="17"/>
  <c r="M361" i="17"/>
  <c r="L361" i="17"/>
  <c r="G364" i="17"/>
  <c r="G363" i="17"/>
  <c r="I361" i="17"/>
  <c r="K361" i="17"/>
  <c r="N361" i="17"/>
  <c r="J361" i="17"/>
  <c r="G65" i="5"/>
  <c r="G66" i="5"/>
  <c r="M63" i="5"/>
  <c r="O63" i="5"/>
  <c r="J63" i="5"/>
  <c r="L63" i="5"/>
  <c r="I63" i="5"/>
  <c r="H63" i="5"/>
  <c r="P63" i="5"/>
  <c r="K63" i="5"/>
  <c r="N63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tc={68AEB0AC-0407-45DE-9AAC-7E51765E0BEA}</author>
    <author>tc={9E4D73EB-B598-4F8C-A44A-A57ED5059BA6}</author>
    <author>tc={79DF478B-08F7-4BB8-B34B-D143C22470B0}</author>
    <author>tc={7E031124-C278-4193-82FC-8726386DF9B8}</author>
  </authors>
  <commentList>
    <comment ref="D1" authorId="0" shapeId="0" xr:uid="{68AEB0AC-0407-45DE-9AAC-7E51765E0BE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Insertar cantidad de km 2D</t>
      </text>
    </comment>
    <comment ref="D3" authorId="1" shapeId="0" xr:uid="{9E4D73EB-B598-4F8C-A44A-A57ED5059BA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Insertar cantidad de km2 3D</t>
      </text>
    </comment>
    <comment ref="D5" authorId="2" shapeId="0" xr:uid="{79DF478B-08F7-4BB8-B34B-D143C22470B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Insertar cantidad de tomografías 2D</t>
      </text>
    </comment>
    <comment ref="D6" authorId="3" shapeId="0" xr:uid="{7E031124-C278-4193-82FC-8726386DF9B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Insertar cantidad de tomografías 3D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tc={D0F4E264-F25D-441D-8FB4-B59490C3C804}</author>
    <author>tc={B412F1D6-966E-4C5B-935F-9E3CBADB0CF6}</author>
    <author>tc={3B8AB228-CA79-4DAE-AE65-D821C59FC55B}</author>
    <author>tc={DA083F55-D541-4931-BE67-B508F88D93D4}</author>
  </authors>
  <commentList>
    <comment ref="D1" authorId="0" shapeId="0" xr:uid="{D0F4E264-F25D-441D-8FB4-B59490C3C80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Insertar cantidad de km 2D</t>
      </text>
    </comment>
    <comment ref="D2" authorId="1" shapeId="0" xr:uid="{B412F1D6-966E-4C5B-935F-9E3CBADB0CF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Insertar cantidad de km2 3D</t>
      </text>
    </comment>
    <comment ref="D3" authorId="2" shapeId="0" xr:uid="{3B8AB228-CA79-4DAE-AE65-D821C59FC55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Insertar cantidad de tomografías 2D</t>
      </text>
    </comment>
    <comment ref="D4" authorId="3" shapeId="0" xr:uid="{DA083F55-D541-4931-BE67-B508F88D93D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Insertar cantidad de tomografías 3D</t>
      </text>
    </comment>
  </commentList>
</comments>
</file>

<file path=xl/sharedStrings.xml><?xml version="1.0" encoding="utf-8"?>
<sst xmlns="http://schemas.openxmlformats.org/spreadsheetml/2006/main" count="970" uniqueCount="247">
  <si>
    <t>Tamaño del proyecto 2D (km) - Tiempo</t>
  </si>
  <si>
    <t>Tamaño del proyecto 2D (km) - Profundidad</t>
  </si>
  <si>
    <t>Tamaño del proyecto 3D (km²) - Tiempo</t>
  </si>
  <si>
    <t>Tamaño del proyecto 3D (km²) - Profundidad</t>
  </si>
  <si>
    <t>Número de tomografías 2D</t>
  </si>
  <si>
    <t>Número de tomografías 3D</t>
  </si>
  <si>
    <t>Absolute</t>
  </si>
  <si>
    <t>AGT</t>
  </si>
  <si>
    <t>EGS</t>
  </si>
  <si>
    <t>GT</t>
  </si>
  <si>
    <t>Geotomo</t>
  </si>
  <si>
    <t>Inforpetrol</t>
  </si>
  <si>
    <t>Petroseis</t>
  </si>
  <si>
    <t>Schlumberger</t>
  </si>
  <si>
    <t>Tecc</t>
  </si>
  <si>
    <t>Z-Terra</t>
  </si>
  <si>
    <t>UNIDAD</t>
  </si>
  <si>
    <t>DESCRIPCION AMPLIADA DEL SERVICIO</t>
  </si>
  <si>
    <t>Project Size</t>
  </si>
  <si>
    <t>Aplica</t>
  </si>
  <si>
    <t>VR UNIT USD $</t>
  </si>
  <si>
    <t>Aplica 2</t>
  </si>
  <si>
    <t>Costo por servicio</t>
  </si>
  <si>
    <t>km 2D</t>
  </si>
  <si>
    <t>2D Up-front processing (include Data Audit)</t>
  </si>
  <si>
    <t>&lt;200 km</t>
  </si>
  <si>
    <t>200-600 km</t>
  </si>
  <si>
    <t>&gt;600 km</t>
  </si>
  <si>
    <t>km² 3D</t>
  </si>
  <si>
    <t>3D Up-front processing (include Data Audit)</t>
  </si>
  <si>
    <t>0-200 km²</t>
  </si>
  <si>
    <t>200-500 km²</t>
  </si>
  <si>
    <t>&gt;500 km²</t>
  </si>
  <si>
    <t>2D Time domain preprocessing</t>
  </si>
  <si>
    <t>3D Time domain preprocessing</t>
  </si>
  <si>
    <t>2D Pre-stack Time Migration (PreSTM)</t>
  </si>
  <si>
    <t>3D Pre-stack Time Migration (PreSTM)</t>
  </si>
  <si>
    <t>2D Tomography iteration (incl. Tomo PreSDM), UP TO 5 ITERATIONS</t>
  </si>
  <si>
    <t>3D Tomography iteration (incl. Tomo PreSDM), UP TO 5 ITERATIONS</t>
  </si>
  <si>
    <t>2D Additional Tomography iteration (incl. Tomo PreSDM for iteration)</t>
  </si>
  <si>
    <t>3D Additional Tomography iteration (incl. Tomo PreSDM for iteration)</t>
  </si>
  <si>
    <t>2D Pre-stack Depth Migration (PreSDM)</t>
  </si>
  <si>
    <t>3D Pre-stack Depth Migration (PreSDM)</t>
  </si>
  <si>
    <t>2D Post-processing &amp; AVO/AVA preconditioning</t>
  </si>
  <si>
    <t>3D Post-processing &amp; AVO/AVA preconditioning</t>
  </si>
  <si>
    <t>Reservoir Characterization: AVO/AVA, Inversion (QI), Geomechanics, PPP</t>
  </si>
  <si>
    <t>VSP Processing</t>
  </si>
  <si>
    <t>Checkshot</t>
  </si>
  <si>
    <t>VSP Zero Offset</t>
  </si>
  <si>
    <t>VSP Offset</t>
  </si>
  <si>
    <t>VSP Walkaway</t>
  </si>
  <si>
    <t>Costo de la orden de servicio (PSTM y PSDM)</t>
  </si>
  <si>
    <t>Costo de la orden de servicio (solo preprocesamiento)</t>
  </si>
  <si>
    <t>Costo de la orden de servicio (solo PSTM)</t>
  </si>
  <si>
    <t>Costo de la orden de servicio ( solo PSDM)</t>
  </si>
  <si>
    <t>Costo de la orden de servicio (solo AVO/AVA preconditioning)</t>
  </si>
  <si>
    <t>Promedio</t>
  </si>
  <si>
    <t>Promedio más 10%</t>
  </si>
  <si>
    <t>Promedio más 20%</t>
  </si>
  <si>
    <t>Tamaño del proyecto 2D (km)</t>
  </si>
  <si>
    <t>Tamaño del proyecto 3D (km²)</t>
  </si>
  <si>
    <t>Time-domain preprocessing</t>
  </si>
  <si>
    <t>5D Hybrid Trace Interpolation (5D HI)</t>
  </si>
  <si>
    <t>Interpolation 5D</t>
  </si>
  <si>
    <t>6D Interpolation</t>
  </si>
  <si>
    <t>ML Deblending</t>
  </si>
  <si>
    <t>Bandwidtg Extension - post stack</t>
  </si>
  <si>
    <t>Bandwidtg Extension - pre stack</t>
  </si>
  <si>
    <t>Interactive Wavelet Shaping (IWS)</t>
  </si>
  <si>
    <t>Ground Force Corrections (GFC)</t>
  </si>
  <si>
    <t>Advance attenuation of Multiple Reflections - Techniques Tailored to Geology (AMR)</t>
  </si>
  <si>
    <t>Enhance Coherency Processing (ECP - Pre-Stack)</t>
  </si>
  <si>
    <t>Non-invasive removal of noise from seismic recording (NINEL)</t>
  </si>
  <si>
    <t>High Velocity Corrections (HVC)</t>
  </si>
  <si>
    <t>Advanced Statics - static corrections in chalenging cases (Adv Statics)</t>
  </si>
  <si>
    <t>Modelling for Statics Corrections - Modeling low veloccity Layer (MLVL)</t>
  </si>
  <si>
    <t>Interactive Residual Static Corrections (IRSC)</t>
  </si>
  <si>
    <t>Linear Noise Elimination by Hybrid Modeling (Hybrid Noise Elimination)</t>
  </si>
  <si>
    <t>Power line attenuation</t>
  </si>
  <si>
    <t>PP-PS Multicomponent (Geotomo QOR)</t>
  </si>
  <si>
    <t>iStats Static Solution</t>
  </si>
  <si>
    <t>AI Noise Attenuation</t>
  </si>
  <si>
    <t>AI Residual Statics</t>
  </si>
  <si>
    <t>AI First Arrival Picker</t>
  </si>
  <si>
    <t>Generalized Primary Well Driven Processing</t>
  </si>
  <si>
    <t>Interferometry First Arrival Enhancement</t>
  </si>
  <si>
    <t>Dispersive Ground Roll Attenuation</t>
  </si>
  <si>
    <t>SRME</t>
  </si>
  <si>
    <t>IME (Internal Multiple Elimination)</t>
  </si>
  <si>
    <t>ISS (Inverse Scattering Series)</t>
  </si>
  <si>
    <t>Interbed Related Multiple Removal</t>
  </si>
  <si>
    <t>Dispersion curve inversion</t>
  </si>
  <si>
    <t>FWI Statics</t>
  </si>
  <si>
    <t>Soluciones de estáticas de periodo largo (Seismic Studio)</t>
  </si>
  <si>
    <t>Soluciones de estáticas de periodo largo (Maxpower - Seisspace)</t>
  </si>
  <si>
    <t>Atenuación de ruido filtro adaptativo</t>
  </si>
  <si>
    <t>Extended Interbed Multiple Prediction (XIMP), 3 horizons</t>
  </si>
  <si>
    <t>Simultaneus Join Inversion: First Break and Surface Waves</t>
  </si>
  <si>
    <t>Vector High Fidelity (VHF) signal enhancement</t>
  </si>
  <si>
    <t>PS Processing</t>
  </si>
  <si>
    <t>CRS processing</t>
  </si>
  <si>
    <t>Bin size reduction to half of the original bin size (25% add-on to CRS and PreSTM)</t>
  </si>
  <si>
    <t>Bin size reduction to a quarter of the original bin size (50% add-on to CRS and PreSTM)</t>
  </si>
  <si>
    <t>Fast track processing  (15% add-on to time domain processing, CRS and PreSTM)</t>
  </si>
  <si>
    <t>Pre-stack Time Migration</t>
  </si>
  <si>
    <t>Common Offset Vector ISO Kirchhoff Migration (COV KM)</t>
  </si>
  <si>
    <t>Diffraction Imagin based on time domain ISO PreSTM with specular gathers (DI Time)</t>
  </si>
  <si>
    <t>Diffraction Imaging (DI)</t>
  </si>
  <si>
    <t>Wave Equation Migration (WEM) VTI</t>
  </si>
  <si>
    <t>Time BEAM</t>
  </si>
  <si>
    <t>iCube Velocity Solution</t>
  </si>
  <si>
    <t>CMP Frequency Expansion</t>
  </si>
  <si>
    <t>Inverse Scattering Series Multiple Attenuation</t>
  </si>
  <si>
    <t>Anisotropía VTI</t>
  </si>
  <si>
    <t>Anisotropía HTI</t>
  </si>
  <si>
    <t>Horizontal Transverse Isotropy (HTI)</t>
  </si>
  <si>
    <t>2D/3D Kirchhoff Operador de trayectoria de rayos curvos Techco-Summing</t>
  </si>
  <si>
    <t>2D/3D Kirchhoff Operador de trayectoria de rayos curvos Tsunami</t>
  </si>
  <si>
    <t>Converted Wave PSTM Migration</t>
  </si>
  <si>
    <t>Azimuthal proccesing (50% add-on to CRS and PreSTM)</t>
  </si>
  <si>
    <t>Vertically and laterally variable PreSTM aperture (25% add-on to PreSTM)</t>
  </si>
  <si>
    <t>Velocity Model Building (VMB)</t>
  </si>
  <si>
    <t>Isotropic VMB based on Full Azimuth Tomography (FAZ ISO VMB ES360)</t>
  </si>
  <si>
    <t>VTI VMB baseo on Full Azimuth Tomography (FAZ VTI VMB ES360)</t>
  </si>
  <si>
    <t>Isotropic VMB (CRAM ISO VMB)</t>
  </si>
  <si>
    <t>VTI VMB (CRAM VTI VMB)</t>
  </si>
  <si>
    <t>VTI VMB (K VTI VMB)</t>
  </si>
  <si>
    <t>HTI anisotropy analysis based on Velocity Variation with Azimuth (VVAZ ES360)</t>
  </si>
  <si>
    <t>HTI anisotropy analysis based on Amplitude Variation with Azimuth (AVAZ ES360)</t>
  </si>
  <si>
    <t>Well Tie Tomography (WTT). Single iteration.</t>
  </si>
  <si>
    <t>Time Preserving Tomography (TPT). Single iteration.</t>
  </si>
  <si>
    <t>Mercury VTI/TTI Tomography</t>
  </si>
  <si>
    <t>Azimuthal Travel Time Tomography</t>
  </si>
  <si>
    <t>Join travel time / FWI</t>
  </si>
  <si>
    <t>Join travel time / Gravity</t>
  </si>
  <si>
    <t>Join travel time / EM</t>
  </si>
  <si>
    <t>Q-Tomography</t>
  </si>
  <si>
    <t>Techco Velocity Analysis</t>
  </si>
  <si>
    <t>Hammer HTI</t>
  </si>
  <si>
    <t>Full Waveform Inversion (FWI) - Up to 6 Hz</t>
  </si>
  <si>
    <t>ML/AI Full Waveform Inversion (FWI)</t>
  </si>
  <si>
    <t>Orthorhombic VMB + Migration</t>
  </si>
  <si>
    <t>AVO Compliant RTM Angle Gather VMB</t>
  </si>
  <si>
    <t>Horizontal Transverse Isotropy (HTI) VMB and PSDM</t>
  </si>
  <si>
    <t>Simultaneus Join Inversion: CIP Reflection Tomo + Gravity</t>
  </si>
  <si>
    <t>Well Constrained Tomography Iteration (up to 3 wells)</t>
  </si>
  <si>
    <t>Well Constrained Tomography Iteration (up to 10 wells)</t>
  </si>
  <si>
    <t>Beam Tomography (BT) (single iteration)</t>
  </si>
  <si>
    <t>Fault Constraint Tomography (FCT) (single iteration)</t>
  </si>
  <si>
    <t>Pre-stack Depth Migration</t>
  </si>
  <si>
    <t>Isotropic Full Azimuth, angle domain pre-stack depth migration - EarthStudy360 (ISO ES360). Final run.</t>
  </si>
  <si>
    <t>VTI Full Azimuth, angle domain pre-stack depth migration - EarthStudy360 (VTI ES360). Final run.</t>
  </si>
  <si>
    <t>Q-compensation Isotropic Full Azimuth, angle domain pre-stack depth migration - EarthStudy360 (Q ISO ES360). Final run.</t>
  </si>
  <si>
    <t>Q-compensation VTI Full Azimuth, angle domain pre-stack depth migration - EarthStudy360 (Q VTI ES360). Final run.</t>
  </si>
  <si>
    <t>Diffraction Imagin based on depth domain PreSDM - Isotropic EarthStudy360, includes final run of Isotropic ES360 for DI (DI ISO ES360). Final run.</t>
  </si>
  <si>
    <t>Diffraction Imagin based on depth domain PreSDM - VTI EarthStudy360, includes final run of VTI ES360 for DI (DI VTI ES360). Final run.</t>
  </si>
  <si>
    <t>Gaussian Beam Tomography (GBM)</t>
  </si>
  <si>
    <t>Specular Imaging based on depth domain PreSDM - Isotropic EarthStudy360 (ISO ES360 SpecImag). Final run.</t>
  </si>
  <si>
    <t>Specular Imaging based on depth domain PreSDM - VTI EarthStudy360 (VTI ES360 SpecImag). Final run.</t>
  </si>
  <si>
    <t>Common Reflection Angle Migration (ISO CRAM) - Isotropic. Final run.</t>
  </si>
  <si>
    <t>Common Reflection Angle Migration (VTI CRAM) - VTI. Final run.</t>
  </si>
  <si>
    <t>Reverse Time Migration (RTM). Final run.</t>
  </si>
  <si>
    <t>Reverse Time Migration ( VTI RTM). Final run.</t>
  </si>
  <si>
    <t>Reverse Time Migration RTM - Two Way Wave Equation Migration (Tsunami)</t>
  </si>
  <si>
    <t>Reverse Time Migration (RTM), 30 Hz</t>
  </si>
  <si>
    <t>Reverse Time Migration (RTM), 30 Hz - Shot Index Gather output + Stack</t>
  </si>
  <si>
    <t>Reverse Time Migration (RTM), 30 Hz - Surface Offset Gather output + Stack</t>
  </si>
  <si>
    <t>Reverse Time Migration (RTM), 35 Hz</t>
  </si>
  <si>
    <t>Reverse Time Migration (RTM), 35 Hz with ICE</t>
  </si>
  <si>
    <t>Kirchhoff LS Migration in the Image Domain (LSM-i)</t>
  </si>
  <si>
    <t>Reverse Time Migration (RTM), 45 Hz</t>
  </si>
  <si>
    <t>Reverse Time Migration (RTM), 45 Hz - Shot Index Gather output + Stack</t>
  </si>
  <si>
    <t>Reverse Time Migration (RTM), 45 Hz - Surface Offset Gather output + Stack</t>
  </si>
  <si>
    <t>Reverse Time Migration (RTM), 45 Hz with ICE</t>
  </si>
  <si>
    <t>Reverse Time Migration (RTM), 55 Hz</t>
  </si>
  <si>
    <t>Reverse Time Migration (RTM), 55 Hz - Shot Index Gather output + Stack</t>
  </si>
  <si>
    <t>Reverse Time Migration (RTM), 55 Hz - Surface Offset Gather output + Stack</t>
  </si>
  <si>
    <t>RTM anisotropic (up to 45 Hz)</t>
  </si>
  <si>
    <t>RTM anisotropic (up to 60 Hz)</t>
  </si>
  <si>
    <t>Acquisition desing study, including formard modeling of different geometries and RTM to evaluate subsurface coverage</t>
  </si>
  <si>
    <t>Full Waveform Inversion (FWI)</t>
  </si>
  <si>
    <t>Q-RTM, 30 Hz</t>
  </si>
  <si>
    <t>Q-RTM, 45 Hz</t>
  </si>
  <si>
    <t>Q-KPreSDM</t>
  </si>
  <si>
    <t>Least Squares RTM</t>
  </si>
  <si>
    <t>RTM 35 Hz LS Migration in the Image Domain (LSM-i)</t>
  </si>
  <si>
    <t>RTM 45 Hz LS Migration in the Image Domain (LSM-i)</t>
  </si>
  <si>
    <t>Depth BEAM</t>
  </si>
  <si>
    <t>2-Way Beamlet WEM</t>
  </si>
  <si>
    <t>2D Wavefield Datuming WEM</t>
  </si>
  <si>
    <t>WEM VTI</t>
  </si>
  <si>
    <t>PSDM Kirchhoff Anisotropic (Tsunami)</t>
  </si>
  <si>
    <t>Reservoir and Overbourden Characterization</t>
  </si>
  <si>
    <t>Extended Elastic Impedance Inversion EEI</t>
  </si>
  <si>
    <t>Fluid Replacement Modelling FRM (per well)</t>
  </si>
  <si>
    <t>Fault Seal Analysis (per fault)</t>
  </si>
  <si>
    <t>Jason RockMod Geostatistical Inversion</t>
  </si>
  <si>
    <r>
      <t>Jason RockMod Geostatistical Inversion (min. 100 km</t>
    </r>
    <r>
      <rPr>
        <sz val="10"/>
        <color theme="1"/>
        <rFont val="Calibri"/>
        <family val="2"/>
      </rPr>
      <t>²</t>
    </r>
    <r>
      <rPr>
        <sz val="10"/>
        <color theme="1"/>
        <rFont val="Arial"/>
        <family val="2"/>
      </rPr>
      <t>).</t>
    </r>
  </si>
  <si>
    <t>Advanced Pore Pressure Prediction (Geotomo QOR)</t>
  </si>
  <si>
    <t>Geomechanics integration (Geotomo QOR)</t>
  </si>
  <si>
    <t>Seisnetics AI Interpretation</t>
  </si>
  <si>
    <t>Analysis AVO (Hampson Russell)</t>
  </si>
  <si>
    <t>Inversión Simultánea (Hampson Russell)</t>
  </si>
  <si>
    <t>Inversión Estocástica (Hampson Russell)</t>
  </si>
  <si>
    <t>Descomposición Espectral (ZFocuStat Spectral Decomposition and thin layer frequency enhancement)</t>
  </si>
  <si>
    <t>Spectral Decomposition</t>
  </si>
  <si>
    <t>Phase Decomposition</t>
  </si>
  <si>
    <t>Frequency Enhancement</t>
  </si>
  <si>
    <t>Reservoir Property Prediction using Multiattribute Analysis (AI, ML)</t>
  </si>
  <si>
    <t>AVO inversion. Small Scenario (up to 100 km, 1 reservoir, up to 3 horizons, up to 2 wells, up to 3 partial stacks) (per project)</t>
  </si>
  <si>
    <t>AVO inversion. Small Scenario (up to 100 km², 1 reservoir, up to 3 horizons, up to 3 wells, up to 3 partial stacks) (per project)</t>
  </si>
  <si>
    <t>AVO inversion. Medium Scenario (up to 300 km, 1 reservoir, up to 3 horizons, up to 2 wells, up to 4 partial stacks)</t>
  </si>
  <si>
    <t>AVO inversion. Medium Scenario (up to 300 km², 1 reservoir, up to 3 horizons, up to 2 wells, up to 4 partial stacks)</t>
  </si>
  <si>
    <t>AVO inversion. Big Scenario (more than 300 km, 1 reservoir, up to 3 horizons, up to 10 wells, up to 4 partial stacks)</t>
  </si>
  <si>
    <t>AVO inversion. Big Scenario (more than 300 km², 1 reservoir, up to 3 horizons, up to 10 wells, up to 4 partial stacks)</t>
  </si>
  <si>
    <t>Rock Physics (up to 5 wells)</t>
  </si>
  <si>
    <t>Rock Physics (up to 5 wells) (per project)</t>
  </si>
  <si>
    <t>Inversion Post-Stack</t>
  </si>
  <si>
    <t>Azimuthal AVO inversion (HTI or ORT) (minimum chargeable area 100 km)</t>
  </si>
  <si>
    <t>Azimuthal AVO inversion (HTI or ORT) (minimum chargeable area 100 km²)</t>
  </si>
  <si>
    <t>Stochastic Inversion (minimum chargeable area 100 km)</t>
  </si>
  <si>
    <t>Stochastic Inversion (minimum chargeable area 100 km²)</t>
  </si>
  <si>
    <r>
      <t>Pore Pressure Prediction (Seismic based), Models between 0-100 km</t>
    </r>
    <r>
      <rPr>
        <sz val="10"/>
        <color theme="1"/>
        <rFont val="Calibri"/>
        <family val="2"/>
      </rPr>
      <t>²</t>
    </r>
  </si>
  <si>
    <t>Pore Pressure Prediction (Seismic based), Models between 0-100 km²</t>
  </si>
  <si>
    <t>Diffraction Imaging (Time)</t>
  </si>
  <si>
    <t>Diffraction Imaging (Depth)</t>
  </si>
  <si>
    <t>Multi-attribute coherency processing</t>
  </si>
  <si>
    <t>Neural network facies classification</t>
  </si>
  <si>
    <t>Seismic fracture detection</t>
  </si>
  <si>
    <t>Interferometry / Mirror Imaging (Geotomo QOR)</t>
  </si>
  <si>
    <t>Multiple migration (Geotomo QOR)</t>
  </si>
  <si>
    <t>VSP VTI Traveltime Tomography (Geotomo QOR)</t>
  </si>
  <si>
    <t>Double difference 4D FWI (Geotomo QOR)</t>
  </si>
  <si>
    <t>3D VSP Near Surface Statics (Geotomo QOR)</t>
  </si>
  <si>
    <t>3D VSP Processing (Geotomo QOR)</t>
  </si>
  <si>
    <t>3D VSP Processing (Monthly rate)</t>
  </si>
  <si>
    <t>Crosswell Processing (Geotomo QOR)</t>
  </si>
  <si>
    <t>3D VSP FWI (Geotomo QOR)</t>
  </si>
  <si>
    <t>Microseismic Processing (Geotomo QOR)</t>
  </si>
  <si>
    <t>DAS Processing (Geotomo QOR)</t>
  </si>
  <si>
    <t>Induced Seismicity Monitoring (EarthX) (Geotomo QOR)</t>
  </si>
  <si>
    <t>Walkaway VSP Processing for AVO Analysis</t>
  </si>
  <si>
    <t>VSP Inversion, Look Ahead, Pore Pressure (includes ZOVSP processing)</t>
  </si>
  <si>
    <t>VSP Modelling</t>
  </si>
  <si>
    <t>Converted waves</t>
  </si>
  <si>
    <t>Q Factor</t>
  </si>
  <si>
    <t>Additional WVSP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</si>
</sst>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_(&quot;$&quot;* #,##0_);_(&quot;$&quot;* \(#,##0\);_(&quot;$&quot;* &quot;-&quot;_);_(@_)"/>
    <numFmt numFmtId="165" formatCode="_-&quot;$&quot;\ * #,##0.00_-;\-&quot;$&quot;\ * #,##0.00_-;_-&quot;$&quot;\ * &quot;-&quot;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2"/>
      <color rgb="FFFFFFFF"/>
      <name val="Arial"/>
      <family val="2"/>
    </font>
    <font>
      <sz val="10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8BED9B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9">
    <xf numFmtId="0" fontId="0" fillId="0" borderId="0" xfId="0"/>
    <xf numFmtId="0" fontId="3" fillId="0" borderId="0" xfId="0" applyFont="1"/>
    <xf numFmtId="0" fontId="3" fillId="0" borderId="1" xfId="0" applyFont="1" applyBorder="1"/>
    <xf numFmtId="2" fontId="3" fillId="0" borderId="0" xfId="0" applyNumberFormat="1" applyFont="1"/>
    <xf numFmtId="0" fontId="4" fillId="3" borderId="1" xfId="0" applyFont="1" applyFill="1" applyBorder="1" applyAlignment="1">
      <alignment horizontal="center" vertical="center" wrapText="1" readingOrder="1"/>
    </xf>
    <xf numFmtId="0" fontId="4" fillId="3" borderId="2" xfId="0" applyFont="1" applyFill="1" applyBorder="1" applyAlignment="1">
      <alignment horizontal="center" vertical="center" wrapText="1" readingOrder="1"/>
    </xf>
    <xf numFmtId="0" fontId="5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165" fontId="3" fillId="5" borderId="1" xfId="1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 readingOrder="1"/>
    </xf>
    <xf numFmtId="44" fontId="2" fillId="6" borderId="1" xfId="2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2" borderId="1" xfId="0" applyFont="1" applyFill="1" applyBorder="1"/>
    <xf numFmtId="2" fontId="3" fillId="2" borderId="1" xfId="0" applyNumberFormat="1" applyFont="1" applyFill="1" applyBorder="1" applyAlignment="1">
      <alignment horizontal="right" indent="1"/>
    </xf>
    <xf numFmtId="0" fontId="3" fillId="2" borderId="1" xfId="0" applyFont="1" applyFill="1" applyBorder="1" applyAlignment="1">
      <alignment horizontal="right" indent="1"/>
    </xf>
    <xf numFmtId="44" fontId="3" fillId="0" borderId="0" xfId="0" applyNumberFormat="1" applyFont="1"/>
    <xf numFmtId="9" fontId="3" fillId="0" borderId="0" xfId="3" applyFont="1"/>
    <xf numFmtId="165" fontId="3" fillId="5" borderId="0" xfId="1" applyNumberFormat="1" applyFont="1" applyFill="1" applyBorder="1" applyAlignment="1">
      <alignment horizontal="center" vertical="center"/>
    </xf>
    <xf numFmtId="2" fontId="3" fillId="0" borderId="0" xfId="0" applyNumberFormat="1" applyFont="1" applyAlignment="1">
      <alignment horizontal="right" indent="1"/>
    </xf>
    <xf numFmtId="0" fontId="3" fillId="0" borderId="0" xfId="0" applyFont="1" applyAlignment="1">
      <alignment horizontal="right" indent="1"/>
    </xf>
    <xf numFmtId="0" fontId="3" fillId="0" borderId="1" xfId="0" applyFont="1" applyBorder="1" applyAlignment="1">
      <alignment horizontal="center" vertical="center" wrapText="1"/>
    </xf>
    <xf numFmtId="0" fontId="3" fillId="7" borderId="1" xfId="0" applyFont="1" applyFill="1" applyBorder="1" applyAlignment="1">
      <alignment vertical="center" wrapText="1"/>
    </xf>
    <xf numFmtId="165" fontId="3" fillId="8" borderId="1" xfId="1" applyNumberFormat="1" applyFont="1" applyFill="1" applyBorder="1" applyAlignment="1">
      <alignment horizontal="center" vertical="center"/>
    </xf>
    <xf numFmtId="165" fontId="3" fillId="9" borderId="1" xfId="1" applyNumberFormat="1" applyFont="1" applyFill="1" applyBorder="1" applyAlignment="1">
      <alignment horizontal="center" vertical="center"/>
    </xf>
    <xf numFmtId="165" fontId="3" fillId="10" borderId="1" xfId="1" applyNumberFormat="1" applyFont="1" applyFill="1" applyBorder="1" applyAlignment="1">
      <alignment horizontal="center" vertical="center"/>
    </xf>
    <xf numFmtId="165" fontId="3" fillId="11" borderId="1" xfId="1" applyNumberFormat="1" applyFont="1" applyFill="1" applyBorder="1" applyAlignment="1">
      <alignment horizontal="center" vertical="center"/>
    </xf>
    <xf numFmtId="165" fontId="3" fillId="12" borderId="1" xfId="1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10" borderId="7" xfId="1" applyNumberFormat="1" applyFont="1" applyFill="1" applyBorder="1" applyAlignment="1">
      <alignment horizontal="center" vertical="center"/>
    </xf>
    <xf numFmtId="165" fontId="3" fillId="10" borderId="8" xfId="1" applyNumberFormat="1" applyFont="1" applyFill="1" applyBorder="1" applyAlignment="1">
      <alignment horizontal="center" vertical="center"/>
    </xf>
    <xf numFmtId="165" fontId="3" fillId="10" borderId="10" xfId="1" applyNumberFormat="1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165" fontId="3" fillId="10" borderId="12" xfId="1" applyNumberFormat="1" applyFont="1" applyFill="1" applyBorder="1" applyAlignment="1">
      <alignment horizontal="center" vertical="center"/>
    </xf>
    <xf numFmtId="165" fontId="3" fillId="10" borderId="13" xfId="1" applyNumberFormat="1" applyFont="1" applyFill="1" applyBorder="1" applyAlignment="1">
      <alignment horizontal="center" vertical="center"/>
    </xf>
    <xf numFmtId="165" fontId="3" fillId="9" borderId="7" xfId="1" applyNumberFormat="1" applyFont="1" applyFill="1" applyBorder="1" applyAlignment="1">
      <alignment horizontal="center" vertical="center"/>
    </xf>
    <xf numFmtId="165" fontId="3" fillId="9" borderId="8" xfId="1" applyNumberFormat="1" applyFont="1" applyFill="1" applyBorder="1" applyAlignment="1">
      <alignment horizontal="center" vertical="center"/>
    </xf>
    <xf numFmtId="165" fontId="3" fillId="9" borderId="10" xfId="1" applyNumberFormat="1" applyFont="1" applyFill="1" applyBorder="1" applyAlignment="1">
      <alignment horizontal="center" vertical="center"/>
    </xf>
    <xf numFmtId="165" fontId="3" fillId="9" borderId="12" xfId="1" applyNumberFormat="1" applyFont="1" applyFill="1" applyBorder="1" applyAlignment="1">
      <alignment horizontal="center" vertical="center"/>
    </xf>
    <xf numFmtId="165" fontId="3" fillId="9" borderId="13" xfId="1" applyNumberFormat="1" applyFont="1" applyFill="1" applyBorder="1" applyAlignment="1">
      <alignment horizontal="center" vertical="center"/>
    </xf>
    <xf numFmtId="165" fontId="3" fillId="5" borderId="7" xfId="1" applyNumberFormat="1" applyFont="1" applyFill="1" applyBorder="1" applyAlignment="1">
      <alignment horizontal="center" vertical="center"/>
    </xf>
    <xf numFmtId="165" fontId="3" fillId="5" borderId="8" xfId="1" applyNumberFormat="1" applyFont="1" applyFill="1" applyBorder="1" applyAlignment="1">
      <alignment horizontal="center" vertical="center"/>
    </xf>
    <xf numFmtId="165" fontId="3" fillId="5" borderId="10" xfId="1" applyNumberFormat="1" applyFont="1" applyFill="1" applyBorder="1" applyAlignment="1">
      <alignment horizontal="center" vertical="center"/>
    </xf>
    <xf numFmtId="165" fontId="3" fillId="5" borderId="12" xfId="1" applyNumberFormat="1" applyFont="1" applyFill="1" applyBorder="1" applyAlignment="1">
      <alignment horizontal="center" vertical="center"/>
    </xf>
    <xf numFmtId="165" fontId="3" fillId="5" borderId="13" xfId="1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 readingOrder="1"/>
    </xf>
    <xf numFmtId="165" fontId="3" fillId="8" borderId="7" xfId="1" applyNumberFormat="1" applyFont="1" applyFill="1" applyBorder="1" applyAlignment="1">
      <alignment horizontal="center" vertical="center"/>
    </xf>
    <xf numFmtId="165" fontId="3" fillId="8" borderId="8" xfId="1" applyNumberFormat="1" applyFont="1" applyFill="1" applyBorder="1" applyAlignment="1">
      <alignment horizontal="center" vertical="center"/>
    </xf>
    <xf numFmtId="165" fontId="3" fillId="8" borderId="10" xfId="1" applyNumberFormat="1" applyFont="1" applyFill="1" applyBorder="1" applyAlignment="1">
      <alignment horizontal="center" vertical="center"/>
    </xf>
    <xf numFmtId="165" fontId="3" fillId="8" borderId="12" xfId="1" applyNumberFormat="1" applyFont="1" applyFill="1" applyBorder="1" applyAlignment="1">
      <alignment horizontal="center" vertical="center"/>
    </xf>
    <xf numFmtId="165" fontId="3" fillId="8" borderId="13" xfId="1" applyNumberFormat="1" applyFont="1" applyFill="1" applyBorder="1" applyAlignment="1">
      <alignment horizontal="center" vertical="center"/>
    </xf>
    <xf numFmtId="165" fontId="3" fillId="11" borderId="7" xfId="1" applyNumberFormat="1" applyFont="1" applyFill="1" applyBorder="1" applyAlignment="1">
      <alignment horizontal="center" vertical="center"/>
    </xf>
    <xf numFmtId="165" fontId="3" fillId="11" borderId="8" xfId="1" applyNumberFormat="1" applyFont="1" applyFill="1" applyBorder="1" applyAlignment="1">
      <alignment horizontal="center" vertical="center"/>
    </xf>
    <xf numFmtId="165" fontId="3" fillId="11" borderId="10" xfId="1" applyNumberFormat="1" applyFont="1" applyFill="1" applyBorder="1" applyAlignment="1">
      <alignment horizontal="center" vertical="center"/>
    </xf>
    <xf numFmtId="165" fontId="3" fillId="11" borderId="12" xfId="1" applyNumberFormat="1" applyFont="1" applyFill="1" applyBorder="1" applyAlignment="1">
      <alignment horizontal="center" vertical="center"/>
    </xf>
    <xf numFmtId="165" fontId="3" fillId="11" borderId="13" xfId="1" applyNumberFormat="1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 wrapText="1" readingOrder="1"/>
    </xf>
    <xf numFmtId="0" fontId="4" fillId="3" borderId="5" xfId="0" applyFont="1" applyFill="1" applyBorder="1" applyAlignment="1">
      <alignment horizontal="center" vertical="center" wrapText="1" readingOrder="1"/>
    </xf>
    <xf numFmtId="44" fontId="2" fillId="6" borderId="5" xfId="2" applyFont="1" applyFill="1" applyBorder="1" applyAlignment="1">
      <alignment vertical="center"/>
    </xf>
    <xf numFmtId="165" fontId="3" fillId="12" borderId="7" xfId="1" applyNumberFormat="1" applyFont="1" applyFill="1" applyBorder="1" applyAlignment="1">
      <alignment horizontal="center" vertical="center"/>
    </xf>
    <xf numFmtId="165" fontId="3" fillId="12" borderId="8" xfId="1" applyNumberFormat="1" applyFont="1" applyFill="1" applyBorder="1" applyAlignment="1">
      <alignment horizontal="center" vertical="center"/>
    </xf>
    <xf numFmtId="165" fontId="3" fillId="12" borderId="10" xfId="1" applyNumberFormat="1" applyFont="1" applyFill="1" applyBorder="1" applyAlignment="1">
      <alignment horizontal="center" vertical="center"/>
    </xf>
    <xf numFmtId="165" fontId="3" fillId="12" borderId="12" xfId="1" applyNumberFormat="1" applyFont="1" applyFill="1" applyBorder="1" applyAlignment="1">
      <alignment horizontal="center" vertical="center"/>
    </xf>
    <xf numFmtId="165" fontId="3" fillId="12" borderId="13" xfId="1" applyNumberFormat="1" applyFont="1" applyFill="1" applyBorder="1" applyAlignment="1">
      <alignment horizontal="center" vertical="center"/>
    </xf>
    <xf numFmtId="44" fontId="2" fillId="13" borderId="1" xfId="0" applyNumberFormat="1" applyFont="1" applyFill="1" applyBorder="1"/>
    <xf numFmtId="0" fontId="3" fillId="0" borderId="6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</cellXfs>
  <cellStyles count="4">
    <cellStyle name="Moneda" xfId="2" builtinId="4"/>
    <cellStyle name="Moneda [0] 2" xfId="1" xr:uid="{00000000-0005-0000-0000-000002000000}"/>
    <cellStyle name="Normal" xfId="0" builtinId="0"/>
    <cellStyle name="Porcentaje" xfId="3" builtinId="5"/>
  </cellStyles>
  <dxfs count="0"/>
  <tableStyles count="0" defaultTableStyle="TableStyleMedium2" defaultPivotStyle="PivotStyleLight16"/>
  <colors>
    <mruColors>
      <color rgb="FF8BED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calcChain" Target="calcChain.xml"/><Relationship Id="rId3" Type="http://schemas.openxmlformats.org/officeDocument/2006/relationships/worksheet" Target="worksheets/sheet2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microsoft.com/office/2017/10/relationships/person" Target="persons/person.xml"/><Relationship Id="rId2" Type="http://schemas.openxmlformats.org/officeDocument/2006/relationships/chartsheet" Target="chartsheets/sheet1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5" Type="http://schemas.openxmlformats.org/officeDocument/2006/relationships/worksheet" Target="worksheets/sheet4.xml"/><Relationship Id="rId15" Type="http://schemas.openxmlformats.org/officeDocument/2006/relationships/styles" Target="styles.xml"/><Relationship Id="rId10" Type="http://schemas.openxmlformats.org/officeDocument/2006/relationships/worksheet" Target="worksheets/sheet9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Precio</a:t>
            </a:r>
            <a:r>
              <a:rPr lang="en-US" baseline="0"/>
              <a:t> de la ODS por c</a:t>
            </a:r>
            <a:r>
              <a:rPr lang="en-US"/>
              <a:t>ompañía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Compañía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'Consolidado de precios'!$G$62:$P$62</c:f>
              <c:strCache>
                <c:ptCount val="10"/>
                <c:pt idx="0">
                  <c:v>Absolute</c:v>
                </c:pt>
                <c:pt idx="1">
                  <c:v>AGT</c:v>
                </c:pt>
                <c:pt idx="2">
                  <c:v>EGS</c:v>
                </c:pt>
                <c:pt idx="3">
                  <c:v>GT</c:v>
                </c:pt>
                <c:pt idx="4">
                  <c:v>Geotomo</c:v>
                </c:pt>
                <c:pt idx="5">
                  <c:v>Inforpetrol</c:v>
                </c:pt>
                <c:pt idx="6">
                  <c:v>Petroseis</c:v>
                </c:pt>
                <c:pt idx="7">
                  <c:v>Schlumberger</c:v>
                </c:pt>
                <c:pt idx="8">
                  <c:v>Tecc</c:v>
                </c:pt>
                <c:pt idx="9">
                  <c:v>Z-Terra</c:v>
                </c:pt>
              </c:strCache>
            </c:strRef>
          </c:cat>
          <c:val>
            <c:numRef>
              <c:f>'Consolidado de precios'!$G$57:$P$57</c:f>
              <c:numCache>
                <c:formatCode>_("$"* #,##0.00_);_("$"* \(#,##0.00\);_("$"* "-"??_);_(@_)</c:formatCode>
                <c:ptCount val="10"/>
                <c:pt idx="0">
                  <c:v>203500</c:v>
                </c:pt>
                <c:pt idx="2">
                  <c:v>178200</c:v>
                </c:pt>
                <c:pt idx="4">
                  <c:v>218560.8</c:v>
                </c:pt>
                <c:pt idx="5">
                  <c:v>80775</c:v>
                </c:pt>
                <c:pt idx="6">
                  <c:v>65727.5</c:v>
                </c:pt>
                <c:pt idx="8">
                  <c:v>273720</c:v>
                </c:pt>
                <c:pt idx="9">
                  <c:v>138625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18-4F08-A001-670606D2B6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00821248"/>
        <c:axId val="600825408"/>
      </c:barChart>
      <c:catAx>
        <c:axId val="6008212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Compañía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00825408"/>
        <c:crosses val="autoZero"/>
        <c:auto val="1"/>
        <c:lblAlgn val="ctr"/>
        <c:lblOffset val="100"/>
        <c:noMultiLvlLbl val="0"/>
      </c:catAx>
      <c:valAx>
        <c:axId val="600825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Precio de la ODS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00821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2D1C651-02A0-40EC-A08F-44ADD661C5EC}">
  <sheetPr/>
  <sheetViews>
    <sheetView zoomScale="124" workbookViewId="0" zoomToFit="1"/>
  </sheetViews>
  <pageMargins left="0.7" right="0.7" top="0.75" bottom="0.75" header="0.3" footer="0.3"/>
  <headerFooter>
    <oddFooter>&amp;C_x000D_&amp;1#&amp;"Aptos"&amp;6&amp;K000000 ECP-INFORMACION PUBLICA</oddFooter>
  </headerFooter>
  <drawing r:id="rId1"/>
</chartsheet>
</file>

<file path=xl/ctrlProps/ctrlProp1.xml><?xml version="1.0" encoding="utf-8"?>
<formControlPr xmlns="http://schemas.microsoft.com/office/spreadsheetml/2009/9/main" objectType="CheckBox" fmlaLink="$F$9" lockText="1" noThreeD="1"/>
</file>

<file path=xl/ctrlProps/ctrlProp2.xml><?xml version="1.0" encoding="utf-8"?>
<formControlPr xmlns="http://schemas.microsoft.com/office/spreadsheetml/2009/9/main" objectType="CheckBox" fmlaLink="$F$10" lockText="1" noThreeD="1"/>
</file>

<file path=xl/ctrlProps/ctrlProp3.xml><?xml version="1.0" encoding="utf-8"?>
<formControlPr xmlns="http://schemas.microsoft.com/office/spreadsheetml/2009/9/main" objectType="CheckBox" checked="Checked" fmlaLink="$F$11" lockText="1" noThreeD="1"/>
</file>

<file path=xl/ctrlProps/ctrlProp4.xml><?xml version="1.0" encoding="utf-8"?>
<formControlPr xmlns="http://schemas.microsoft.com/office/spreadsheetml/2009/9/main" objectType="CheckBox" fmlaLink="$F$12" lockText="1" noThreeD="1"/>
</file>

<file path=xl/ctrlProps/ctrlProp5.xml><?xml version="1.0" encoding="utf-8"?>
<formControlPr xmlns="http://schemas.microsoft.com/office/spreadsheetml/2009/9/main" objectType="CheckBox" fmlaLink="$F$13" lockText="1" noThreeD="1"/>
</file>

<file path=xl/ctrlProps/ctrlProp6.xml><?xml version="1.0" encoding="utf-8"?>
<formControlPr xmlns="http://schemas.microsoft.com/office/spreadsheetml/2009/9/main" objectType="CheckBox" fmlaLink="$F$14" lockText="1" noThreeD="1"/>
</file>

<file path=xl/ctrlProps/ctrlProp7.xml><?xml version="1.0" encoding="utf-8"?>
<formControlPr xmlns="http://schemas.microsoft.com/office/spreadsheetml/2009/9/main" objectType="CheckBox" fmlaLink="$F$15" lockText="1" noThreeD="1"/>
</file>

<file path=xl/ctrlProps/ctrlProp8.xml><?xml version="1.0" encoding="utf-8"?>
<formControlPr xmlns="http://schemas.microsoft.com/office/spreadsheetml/2009/9/main" objectType="CheckBox" fmlaLink="$F$16" lockText="1" noThreeD="1"/>
</file>

<file path=xl/ctrlProps/ctrlProp9.xml><?xml version="1.0" encoding="utf-8"?>
<formControlPr xmlns="http://schemas.microsoft.com/office/spreadsheetml/2009/9/main" objectType="CheckBox" checked="Checked" fmlaLink="$F$17" lockText="1" noThreeD="1"/>
</file>

<file path=xl/ctrlProps/ctrlProp10.xml><?xml version="1.0" encoding="utf-8"?>
<formControlPr xmlns="http://schemas.microsoft.com/office/spreadsheetml/2009/9/main" objectType="CheckBox" fmlaLink="$F$18" lockText="1" noThreeD="1"/>
</file>

<file path=xl/ctrlProps/ctrlProp11.xml><?xml version="1.0" encoding="utf-8"?>
<formControlPr xmlns="http://schemas.microsoft.com/office/spreadsheetml/2009/9/main" objectType="CheckBox" fmlaLink="$F$19" lockText="1" noThreeD="1"/>
</file>

<file path=xl/ctrlProps/ctrlProp12.xml><?xml version="1.0" encoding="utf-8"?>
<formControlPr xmlns="http://schemas.microsoft.com/office/spreadsheetml/2009/9/main" objectType="CheckBox" fmlaLink="$F$20" lockText="1" noThreeD="1"/>
</file>

<file path=xl/ctrlProps/ctrlProp13.xml><?xml version="1.0" encoding="utf-8"?>
<formControlPr xmlns="http://schemas.microsoft.com/office/spreadsheetml/2009/9/main" objectType="CheckBox" fmlaLink="$F$21" lockText="1" noThreeD="1"/>
</file>

<file path=xl/ctrlProps/ctrlProp14.xml><?xml version="1.0" encoding="utf-8"?>
<formControlPr xmlns="http://schemas.microsoft.com/office/spreadsheetml/2009/9/main" objectType="CheckBox" fmlaLink="$F$22" lockText="1" noThreeD="1"/>
</file>

<file path=xl/ctrlProps/ctrlProp15.xml><?xml version="1.0" encoding="utf-8"?>
<formControlPr xmlns="http://schemas.microsoft.com/office/spreadsheetml/2009/9/main" objectType="CheckBox" checked="Checked" fmlaLink="$F$23" lockText="1" noThreeD="1"/>
</file>

<file path=xl/ctrlProps/ctrlProp16.xml><?xml version="1.0" encoding="utf-8"?>
<formControlPr xmlns="http://schemas.microsoft.com/office/spreadsheetml/2009/9/main" objectType="CheckBox" fmlaLink="$F$24" lockText="1" noThreeD="1"/>
</file>

<file path=xl/ctrlProps/ctrlProp17.xml><?xml version="1.0" encoding="utf-8"?>
<formControlPr xmlns="http://schemas.microsoft.com/office/spreadsheetml/2009/9/main" objectType="CheckBox" fmlaLink="$F$25" lockText="1" noThreeD="1"/>
</file>

<file path=xl/ctrlProps/ctrlProp18.xml><?xml version="1.0" encoding="utf-8"?>
<formControlPr xmlns="http://schemas.microsoft.com/office/spreadsheetml/2009/9/main" objectType="CheckBox" fmlaLink="$F$26" lockText="1" noThreeD="1"/>
</file>

<file path=xl/ctrlProps/ctrlProp19.xml><?xml version="1.0" encoding="utf-8"?>
<formControlPr xmlns="http://schemas.microsoft.com/office/spreadsheetml/2009/9/main" objectType="CheckBox" checked="Checked" fmlaLink="$F$27" lockText="1" noThreeD="1"/>
</file>

<file path=xl/ctrlProps/ctrlProp20.xml><?xml version="1.0" encoding="utf-8"?>
<formControlPr xmlns="http://schemas.microsoft.com/office/spreadsheetml/2009/9/main" objectType="CheckBox" fmlaLink="$F$28" lockText="1" noThreeD="1"/>
</file>

<file path=xl/ctrlProps/ctrlProp21.xml><?xml version="1.0" encoding="utf-8"?>
<formControlPr xmlns="http://schemas.microsoft.com/office/spreadsheetml/2009/9/main" objectType="CheckBox" fmlaLink="$F$29" lockText="1" noThreeD="1"/>
</file>

<file path=xl/ctrlProps/ctrlProp22.xml><?xml version="1.0" encoding="utf-8"?>
<formControlPr xmlns="http://schemas.microsoft.com/office/spreadsheetml/2009/9/main" objectType="CheckBox" fmlaLink="$F$30" lockText="1" noThreeD="1"/>
</file>

<file path=xl/ctrlProps/ctrlProp23.xml><?xml version="1.0" encoding="utf-8"?>
<formControlPr xmlns="http://schemas.microsoft.com/office/spreadsheetml/2009/9/main" objectType="CheckBox" fmlaLink="$F$31" lockText="1" noThreeD="1"/>
</file>

<file path=xl/ctrlProps/ctrlProp24.xml><?xml version="1.0" encoding="utf-8"?>
<formControlPr xmlns="http://schemas.microsoft.com/office/spreadsheetml/2009/9/main" objectType="CheckBox" fmlaLink="$F$32" lockText="1" noThreeD="1"/>
</file>

<file path=xl/ctrlProps/ctrlProp25.xml><?xml version="1.0" encoding="utf-8"?>
<formControlPr xmlns="http://schemas.microsoft.com/office/spreadsheetml/2009/9/main" objectType="CheckBox" checked="Checked" fmlaLink="$F$33" lockText="1" noThreeD="1"/>
</file>

<file path=xl/ctrlProps/ctrlProp26.xml><?xml version="1.0" encoding="utf-8"?>
<formControlPr xmlns="http://schemas.microsoft.com/office/spreadsheetml/2009/9/main" objectType="CheckBox" fmlaLink="$F$34" lockText="1" noThreeD="1"/>
</file>

<file path=xl/ctrlProps/ctrlProp27.xml><?xml version="1.0" encoding="utf-8"?>
<formControlPr xmlns="http://schemas.microsoft.com/office/spreadsheetml/2009/9/main" objectType="CheckBox" fmlaLink="$F$35" lockText="1" noThreeD="1"/>
</file>

<file path=xl/ctrlProps/ctrlProp28.xml><?xml version="1.0" encoding="utf-8"?>
<formControlPr xmlns="http://schemas.microsoft.com/office/spreadsheetml/2009/9/main" objectType="CheckBox" fmlaLink="$F$36" lockText="1" noThreeD="1"/>
</file>

<file path=xl/ctrlProps/ctrlProp29.xml><?xml version="1.0" encoding="utf-8"?>
<formControlPr xmlns="http://schemas.microsoft.com/office/spreadsheetml/2009/9/main" objectType="CheckBox" fmlaLink="$F$37" lockText="1" noThreeD="1"/>
</file>

<file path=xl/ctrlProps/ctrlProp30.xml><?xml version="1.0" encoding="utf-8"?>
<formControlPr xmlns="http://schemas.microsoft.com/office/spreadsheetml/2009/9/main" objectType="CheckBox" fmlaLink="$F$38" lockText="1" noThreeD="1"/>
</file>

<file path=xl/ctrlProps/ctrlProp31.xml><?xml version="1.0" encoding="utf-8"?>
<formControlPr xmlns="http://schemas.microsoft.com/office/spreadsheetml/2009/9/main" objectType="CheckBox" checked="Checked" fmlaLink="$F$39" lockText="1" noThreeD="1"/>
</file>

<file path=xl/ctrlProps/ctrlProp32.xml><?xml version="1.0" encoding="utf-8"?>
<formControlPr xmlns="http://schemas.microsoft.com/office/spreadsheetml/2009/9/main" objectType="CheckBox" fmlaLink="$F$40" lockText="1" noThreeD="1"/>
</file>

<file path=xl/ctrlProps/ctrlProp33.xml><?xml version="1.0" encoding="utf-8"?>
<formControlPr xmlns="http://schemas.microsoft.com/office/spreadsheetml/2009/9/main" objectType="CheckBox" fmlaLink="$F$41" lockText="1" noThreeD="1"/>
</file>

<file path=xl/ctrlProps/ctrlProp34.xml><?xml version="1.0" encoding="utf-8"?>
<formControlPr xmlns="http://schemas.microsoft.com/office/spreadsheetml/2009/9/main" objectType="CheckBox" fmlaLink="$F$42" lockText="1" noThreeD="1"/>
</file>

<file path=xl/ctrlProps/ctrlProp35.xml><?xml version="1.0" encoding="utf-8"?>
<formControlPr xmlns="http://schemas.microsoft.com/office/spreadsheetml/2009/9/main" objectType="CheckBox" fmlaLink="$F$43" lockText="1" noThreeD="1"/>
</file>

<file path=xl/ctrlProps/ctrlProp36.xml><?xml version="1.0" encoding="utf-8"?>
<formControlPr xmlns="http://schemas.microsoft.com/office/spreadsheetml/2009/9/main" objectType="CheckBox" fmlaLink="$F$44" lockText="1" noThreeD="1"/>
</file>

<file path=xl/ctrlProps/ctrlProp37.xml><?xml version="1.0" encoding="utf-8"?>
<formControlPr xmlns="http://schemas.microsoft.com/office/spreadsheetml/2009/9/main" objectType="CheckBox" fmlaLink="$F$45" lockText="1" noThreeD="1"/>
</file>

<file path=xl/ctrlProps/ctrlProp38.xml><?xml version="1.0" encoding="utf-8"?>
<formControlPr xmlns="http://schemas.microsoft.com/office/spreadsheetml/2009/9/main" objectType="CheckBox" fmlaLink="$F$46" lockText="1" noThreeD="1"/>
</file>

<file path=xl/ctrlProps/ctrlProp39.xml><?xml version="1.0" encoding="utf-8"?>
<formControlPr xmlns="http://schemas.microsoft.com/office/spreadsheetml/2009/9/main" objectType="CheckBox" fmlaLink="$F$47" lockText="1" noThreeD="1"/>
</file>

<file path=xl/ctrlProps/ctrlProp40.xml><?xml version="1.0" encoding="utf-8"?>
<formControlPr xmlns="http://schemas.microsoft.com/office/spreadsheetml/2009/9/main" objectType="CheckBox" fmlaLink="$F$48" lockText="1" noThreeD="1"/>
</file>

<file path=xl/ctrlProps/ctrlProp41.xml><?xml version="1.0" encoding="utf-8"?>
<formControlPr xmlns="http://schemas.microsoft.com/office/spreadsheetml/2009/9/main" objectType="CheckBox" fmlaLink="$F$49" lockText="1" noThreeD="1"/>
</file>

<file path=xl/ctrlProps/ctrlProp42.xml><?xml version="1.0" encoding="utf-8"?>
<formControlPr xmlns="http://schemas.microsoft.com/office/spreadsheetml/2009/9/main" objectType="CheckBox" fmlaLink="$F$50" lockText="1" noThreeD="1"/>
</file>

<file path=xl/ctrlProps/ctrlProp43.xml><?xml version="1.0" encoding="utf-8"?>
<formControlPr xmlns="http://schemas.microsoft.com/office/spreadsheetml/2009/9/main" objectType="CheckBox" fmlaLink="$F$51" lockText="1" noThreeD="1"/>
</file>

<file path=xl/ctrlProps/ctrlProp44.xml><?xml version="1.0" encoding="utf-8"?>
<formControlPr xmlns="http://schemas.microsoft.com/office/spreadsheetml/2009/9/main" objectType="CheckBox" fmlaLink="$F$52" lockText="1" noThreeD="1"/>
</file>

<file path=xl/ctrlProps/ctrlProp45.xml><?xml version="1.0" encoding="utf-8"?>
<formControlPr xmlns="http://schemas.microsoft.com/office/spreadsheetml/2009/9/main" objectType="CheckBox" fmlaLink="$F$53" lockText="1" noThreeD="1"/>
</file>

<file path=xl/ctrlProps/ctrlProp46.xml><?xml version="1.0" encoding="utf-8"?>
<formControlPr xmlns="http://schemas.microsoft.com/office/spreadsheetml/2009/9/main" objectType="CheckBox" fmlaLink="$F$54" lockText="1" noThreeD="1"/>
</file>

<file path=xl/ctrlProps/ctrlProp47.xml><?xml version="1.0" encoding="utf-8"?>
<formControlPr xmlns="http://schemas.microsoft.com/office/spreadsheetml/2009/9/main" objectType="CheckBox" fmlaLink="$F$55" lockText="1" noThreeD="1"/>
</file>

<file path=xl/ctrlProps/ctrlProp48.xml><?xml version="1.0" encoding="utf-8"?>
<formControlPr xmlns="http://schemas.microsoft.com/office/spreadsheetml/2009/9/main" objectType="CheckBox" fmlaLink="$F$56" lockText="1" noThreeD="1"/>
</file>

<file path=xl/ctrlProps/ctrlProp49.xml><?xml version="1.0" encoding="utf-8"?>
<formControlPr xmlns="http://schemas.microsoft.com/office/spreadsheetml/2009/9/main" objectType="CheckBox" fmlaLink="$F$7" lockText="1" noThreeD="1"/>
</file>

<file path=xl/ctrlProps/ctrlProp50.xml><?xml version="1.0" encoding="utf-8"?>
<formControlPr xmlns="http://schemas.microsoft.com/office/spreadsheetml/2009/9/main" objectType="CheckBox" fmlaLink="$F$8" lockText="1" noThreeD="1"/>
</file>

<file path=xl/ctrlProps/ctrlProp51.xml><?xml version="1.0" encoding="utf-8"?>
<formControlPr xmlns="http://schemas.microsoft.com/office/spreadsheetml/2009/9/main" objectType="CheckBox" fmlaLink="$F$19" lockText="1" noThreeD="1"/>
</file>

<file path=xl/ctrlProps/ctrlProp52.xml><?xml version="1.0" encoding="utf-8"?>
<formControlPr xmlns="http://schemas.microsoft.com/office/spreadsheetml/2009/9/main" objectType="CheckBox" fmlaLink="$F$20" lockText="1" noThreeD="1"/>
</file>

<file path=xl/ctrlProps/ctrlProp53.xml><?xml version="1.0" encoding="utf-8"?>
<formControlPr xmlns="http://schemas.microsoft.com/office/spreadsheetml/2009/9/main" objectType="CheckBox" fmlaLink="$F$21" lockText="1" noThreeD="1"/>
</file>

<file path=xl/ctrlProps/ctrlProp54.xml><?xml version="1.0" encoding="utf-8"?>
<formControlPr xmlns="http://schemas.microsoft.com/office/spreadsheetml/2009/9/main" objectType="CheckBox" fmlaLink="$F$22" lockText="1" noThreeD="1"/>
</file>

<file path=xl/ctrlProps/ctrlProp55.xml><?xml version="1.0" encoding="utf-8"?>
<formControlPr xmlns="http://schemas.microsoft.com/office/spreadsheetml/2009/9/main" objectType="CheckBox" fmlaLink="$F$23" lockText="1" noThreeD="1"/>
</file>

<file path=xl/ctrlProps/ctrlProp56.xml><?xml version="1.0" encoding="utf-8"?>
<formControlPr xmlns="http://schemas.microsoft.com/office/spreadsheetml/2009/9/main" objectType="CheckBox" fmlaLink="$F$24" lockText="1" noThreeD="1"/>
</file>

<file path=xl/ctrlProps/ctrlProp57.xml><?xml version="1.0" encoding="utf-8"?>
<formControlPr xmlns="http://schemas.microsoft.com/office/spreadsheetml/2009/9/main" objectType="CheckBox" fmlaLink="$F$25" lockText="1" noThreeD="1"/>
</file>

<file path=xl/ctrlProps/ctrlProp58.xml><?xml version="1.0" encoding="utf-8"?>
<formControlPr xmlns="http://schemas.microsoft.com/office/spreadsheetml/2009/9/main" objectType="CheckBox" fmlaLink="$F$26" lockText="1" noThreeD="1"/>
</file>

<file path=xl/ctrlProps/ctrlProp59.xml><?xml version="1.0" encoding="utf-8"?>
<formControlPr xmlns="http://schemas.microsoft.com/office/spreadsheetml/2009/9/main" objectType="CheckBox" fmlaLink="$F$28" lockText="1" noThreeD="1"/>
</file>

<file path=xl/ctrlProps/ctrlProp60.xml><?xml version="1.0" encoding="utf-8"?>
<formControlPr xmlns="http://schemas.microsoft.com/office/spreadsheetml/2009/9/main" objectType="CheckBox" fmlaLink="$F$29" lockText="1" noThreeD="1"/>
</file>

<file path=xl/ctrlProps/ctrlProp61.xml><?xml version="1.0" encoding="utf-8"?>
<formControlPr xmlns="http://schemas.microsoft.com/office/spreadsheetml/2009/9/main" objectType="CheckBox" fmlaLink="$F$30" lockText="1" noThreeD="1"/>
</file>

<file path=xl/ctrlProps/ctrlProp62.xml><?xml version="1.0" encoding="utf-8"?>
<formControlPr xmlns="http://schemas.microsoft.com/office/spreadsheetml/2009/9/main" objectType="CheckBox" fmlaLink="$F$31" lockText="1" noThreeD="1"/>
</file>

<file path=xl/ctrlProps/ctrlProp63.xml><?xml version="1.0" encoding="utf-8"?>
<formControlPr xmlns="http://schemas.microsoft.com/office/spreadsheetml/2009/9/main" objectType="CheckBox" fmlaLink="$F$32" lockText="1" noThreeD="1"/>
</file>

<file path=xl/ctrlProps/ctrlProp64.xml><?xml version="1.0" encoding="utf-8"?>
<formControlPr xmlns="http://schemas.microsoft.com/office/spreadsheetml/2009/9/main" objectType="CheckBox" fmlaLink="$F$33" lockText="1" noThreeD="1"/>
</file>

<file path=xl/ctrlProps/ctrlProp65.xml><?xml version="1.0" encoding="utf-8"?>
<formControlPr xmlns="http://schemas.microsoft.com/office/spreadsheetml/2009/9/main" objectType="CheckBox" fmlaLink="$F$34" lockText="1" noThreeD="1"/>
</file>

<file path=xl/ctrlProps/ctrlProp66.xml><?xml version="1.0" encoding="utf-8"?>
<formControlPr xmlns="http://schemas.microsoft.com/office/spreadsheetml/2009/9/main" objectType="CheckBox" fmlaLink="$F$35" lockText="1" noThreeD="1"/>
</file>

<file path=xl/ctrlProps/ctrlProp67.xml><?xml version="1.0" encoding="utf-8"?>
<formControlPr xmlns="http://schemas.microsoft.com/office/spreadsheetml/2009/9/main" objectType="CheckBox" fmlaLink="$F$36" lockText="1" noThreeD="1"/>
</file>

<file path=xl/ctrlProps/ctrlProp68.xml><?xml version="1.0" encoding="utf-8"?>
<formControlPr xmlns="http://schemas.microsoft.com/office/spreadsheetml/2009/9/main" objectType="CheckBox" fmlaLink="$F$37" lockText="1" noThreeD="1"/>
</file>

<file path=xl/ctrlProps/ctrlProp69.xml><?xml version="1.0" encoding="utf-8"?>
<formControlPr xmlns="http://schemas.microsoft.com/office/spreadsheetml/2009/9/main" objectType="CheckBox" fmlaLink="$F$38" lockText="1" noThreeD="1"/>
</file>

<file path=xl/ctrlProps/ctrlProp70.xml><?xml version="1.0" encoding="utf-8"?>
<formControlPr xmlns="http://schemas.microsoft.com/office/spreadsheetml/2009/9/main" objectType="CheckBox" fmlaLink="$F$91" lockText="1" noThreeD="1"/>
</file>

<file path=xl/ctrlProps/ctrlProp71.xml><?xml version="1.0" encoding="utf-8"?>
<formControlPr xmlns="http://schemas.microsoft.com/office/spreadsheetml/2009/9/main" objectType="CheckBox" fmlaLink="$F$92" lockText="1" noThreeD="1"/>
</file>

<file path=xl/ctrlProps/ctrlProp72.xml><?xml version="1.0" encoding="utf-8"?>
<formControlPr xmlns="http://schemas.microsoft.com/office/spreadsheetml/2009/9/main" objectType="CheckBox" fmlaLink="$F$93" lockText="1" noThreeD="1"/>
</file>

<file path=xl/ctrlProps/ctrlProp73.xml><?xml version="1.0" encoding="utf-8"?>
<formControlPr xmlns="http://schemas.microsoft.com/office/spreadsheetml/2009/9/main" objectType="CheckBox" fmlaLink="$F$94" lockText="1" noThreeD="1"/>
</file>

<file path=xl/ctrlProps/ctrlProp74.xml><?xml version="1.0" encoding="utf-8"?>
<formControlPr xmlns="http://schemas.microsoft.com/office/spreadsheetml/2009/9/main" objectType="CheckBox" fmlaLink="$F$123" lockText="1" noThreeD="1"/>
</file>

<file path=xl/ctrlProps/ctrlProp75.xml><?xml version="1.0" encoding="utf-8"?>
<formControlPr xmlns="http://schemas.microsoft.com/office/spreadsheetml/2009/9/main" objectType="CheckBox" fmlaLink="$F$124" lockText="1" noThreeD="1"/>
</file>

<file path=xl/ctrlProps/ctrlProp76.xml><?xml version="1.0" encoding="utf-8"?>
<formControlPr xmlns="http://schemas.microsoft.com/office/spreadsheetml/2009/9/main" objectType="CheckBox" fmlaLink="$F$125" lockText="1" noThreeD="1"/>
</file>

<file path=xl/ctrlProps/ctrlProp77.xml><?xml version="1.0" encoding="utf-8"?>
<formControlPr xmlns="http://schemas.microsoft.com/office/spreadsheetml/2009/9/main" objectType="CheckBox" fmlaLink="$F$126" lockText="1" noThreeD="1"/>
</file>

<file path=xl/ctrlProps/ctrlProp78.xml><?xml version="1.0" encoding="utf-8"?>
<formControlPr xmlns="http://schemas.microsoft.com/office/spreadsheetml/2009/9/main" objectType="CheckBox" fmlaLink="$F$127" lockText="1" noThreeD="1"/>
</file>

<file path=xl/ctrlProps/ctrlProp79.xml><?xml version="1.0" encoding="utf-8"?>
<formControlPr xmlns="http://schemas.microsoft.com/office/spreadsheetml/2009/9/main" objectType="CheckBox" fmlaLink="$F$128" lockText="1" noThreeD="1"/>
</file>

<file path=xl/ctrlProps/ctrlProp80.xml><?xml version="1.0" encoding="utf-8"?>
<formControlPr xmlns="http://schemas.microsoft.com/office/spreadsheetml/2009/9/main" objectType="CheckBox" fmlaLink="$F$129" lockText="1" noThreeD="1"/>
</file>

<file path=xl/ctrlProps/ctrlProp81.xml><?xml version="1.0" encoding="utf-8"?>
<formControlPr xmlns="http://schemas.microsoft.com/office/spreadsheetml/2009/9/main" objectType="CheckBox" fmlaLink="$F$130" lockText="1" noThreeD="1"/>
</file>

<file path=xl/ctrlProps/ctrlProp82.xml><?xml version="1.0" encoding="utf-8"?>
<formControlPr xmlns="http://schemas.microsoft.com/office/spreadsheetml/2009/9/main" objectType="CheckBox" fmlaLink="$F$131" lockText="1" noThreeD="1"/>
</file>

<file path=xl/ctrlProps/ctrlProp83.xml><?xml version="1.0" encoding="utf-8"?>
<formControlPr xmlns="http://schemas.microsoft.com/office/spreadsheetml/2009/9/main" objectType="CheckBox" fmlaLink="$F$132" lockText="1" noThreeD="1"/>
</file>

<file path=xl/ctrlProps/ctrlProp84.xml><?xml version="1.0" encoding="utf-8"?>
<formControlPr xmlns="http://schemas.microsoft.com/office/spreadsheetml/2009/9/main" objectType="CheckBox" fmlaLink="$F$133" lockText="1" noThreeD="1"/>
</file>

<file path=xl/ctrlProps/ctrlProp85.xml><?xml version="1.0" encoding="utf-8"?>
<formControlPr xmlns="http://schemas.microsoft.com/office/spreadsheetml/2009/9/main" objectType="CheckBox" fmlaLink="$F$134" lockText="1" noThreeD="1"/>
</file>

<file path=xl/ctrlProps/ctrlProp86.xml><?xml version="1.0" encoding="utf-8"?>
<formControlPr xmlns="http://schemas.microsoft.com/office/spreadsheetml/2009/9/main" objectType="CheckBox" fmlaLink="$F$135" lockText="1" noThreeD="1"/>
</file>

<file path=xl/ctrlProps/ctrlProp87.xml><?xml version="1.0" encoding="utf-8"?>
<formControlPr xmlns="http://schemas.microsoft.com/office/spreadsheetml/2009/9/main" objectType="CheckBox" fmlaLink="$F$136" lockText="1" noThreeD="1"/>
</file>

<file path=xl/ctrlProps/ctrlProp88.xml><?xml version="1.0" encoding="utf-8"?>
<formControlPr xmlns="http://schemas.microsoft.com/office/spreadsheetml/2009/9/main" objectType="CheckBox" fmlaLink="$F$137" lockText="1" noThreeD="1"/>
</file>

<file path=xl/ctrlProps/ctrlProp89.xml><?xml version="1.0" encoding="utf-8"?>
<formControlPr xmlns="http://schemas.microsoft.com/office/spreadsheetml/2009/9/main" objectType="CheckBox" fmlaLink="$F$138" lockText="1" noThreeD="1"/>
</file>

<file path=xl/ctrlProps/ctrlProp90.xml><?xml version="1.0" encoding="utf-8"?>
<formControlPr xmlns="http://schemas.microsoft.com/office/spreadsheetml/2009/9/main" objectType="CheckBox" fmlaLink="$F$139" lockText="1" noThreeD="1"/>
</file>

<file path=xl/ctrlProps/ctrlProp91.xml><?xml version="1.0" encoding="utf-8"?>
<formControlPr xmlns="http://schemas.microsoft.com/office/spreadsheetml/2009/9/main" objectType="CheckBox" fmlaLink="$F$140" lockText="1" noThreeD="1"/>
</file>

<file path=xl/ctrlProps/ctrlProp92.xml><?xml version="1.0" encoding="utf-8"?>
<formControlPr xmlns="http://schemas.microsoft.com/office/spreadsheetml/2009/9/main" objectType="CheckBox" fmlaLink="$F$27" lockText="1" noThreeD="1"/>
</file>

<file path=xl/ctrlProps/ctrlProp93.xml><?xml version="1.0" encoding="utf-8"?>
<formControlPr xmlns="http://schemas.microsoft.com/office/spreadsheetml/2009/9/main" objectType="CheckBox" fmlaLink="$F$139" lockText="1" noThreeD="1"/>
</file>

<file path=xl/ctrlProps/ctrlProp94.xml><?xml version="1.0" encoding="utf-8"?>
<formControlPr xmlns="http://schemas.microsoft.com/office/spreadsheetml/2009/9/main" objectType="CheckBox" fmlaLink="$F$140" lockText="1" noThreeD="1"/>
</file>

<file path=xl/ctrlProps/ctrlProp95.xml><?xml version="1.0" encoding="utf-8"?>
<formControlPr xmlns="http://schemas.microsoft.com/office/spreadsheetml/2009/9/main" objectType="CheckBox" fmlaLink="$F$177" lockText="1" noThreeD="1"/>
</file>

<file path=xl/ctrlProps/ctrlProp96.xml><?xml version="1.0" encoding="utf-8"?>
<formControlPr xmlns="http://schemas.microsoft.com/office/spreadsheetml/2009/9/main" objectType="CheckBox" fmlaLink="$F$178" lockText="1" noThreeD="1"/>
</file>

<file path=xl/ctrlProps/ctrlProp97.xml><?xml version="1.0" encoding="utf-8"?>
<formControlPr xmlns="http://schemas.microsoft.com/office/spreadsheetml/2009/9/main" objectType="CheckBox" fmlaLink="$F$179" lockText="1" noThreeD="1"/>
</file>

<file path=xl/ctrlProps/ctrlProp98.xml><?xml version="1.0" encoding="utf-8"?>
<formControlPr xmlns="http://schemas.microsoft.com/office/spreadsheetml/2009/9/main" objectType="CheckBox" fmlaLink="$F$180" lockText="1" noThreeD="1"/>
</file>

<file path=xl/ctrlProps/ctrlProp99.xml><?xml version="1.0" encoding="utf-8"?>
<formControlPr xmlns="http://schemas.microsoft.com/office/spreadsheetml/2009/9/main" objectType="CheckBox" fmlaLink="$F$181" lockText="1" noThreeD="1"/>
</file>

<file path=xl/ctrlProps/ctrlProp100.xml><?xml version="1.0" encoding="utf-8"?>
<formControlPr xmlns="http://schemas.microsoft.com/office/spreadsheetml/2009/9/main" objectType="CheckBox" fmlaLink="$F$182" lockText="1" noThreeD="1"/>
</file>

<file path=xl/ctrlProps/ctrlProp101.xml><?xml version="1.0" encoding="utf-8"?>
<formControlPr xmlns="http://schemas.microsoft.com/office/spreadsheetml/2009/9/main" objectType="CheckBox" fmlaLink="$F$183" lockText="1" noThreeD="1"/>
</file>

<file path=xl/ctrlProps/ctrlProp102.xml><?xml version="1.0" encoding="utf-8"?>
<formControlPr xmlns="http://schemas.microsoft.com/office/spreadsheetml/2009/9/main" objectType="CheckBox" fmlaLink="$F$184" lockText="1" noThreeD="1"/>
</file>

<file path=xl/ctrlProps/ctrlProp103.xml><?xml version="1.0" encoding="utf-8"?>
<formControlPr xmlns="http://schemas.microsoft.com/office/spreadsheetml/2009/9/main" objectType="CheckBox" fmlaLink="$F$185" lockText="1" noThreeD="1"/>
</file>

<file path=xl/ctrlProps/ctrlProp104.xml><?xml version="1.0" encoding="utf-8"?>
<formControlPr xmlns="http://schemas.microsoft.com/office/spreadsheetml/2009/9/main" objectType="CheckBox" fmlaLink="$F$186" lockText="1" noThreeD="1"/>
</file>

<file path=xl/ctrlProps/ctrlProp105.xml><?xml version="1.0" encoding="utf-8"?>
<formControlPr xmlns="http://schemas.microsoft.com/office/spreadsheetml/2009/9/main" objectType="CheckBox" fmlaLink="$F$187" lockText="1" noThreeD="1"/>
</file>

<file path=xl/ctrlProps/ctrlProp106.xml><?xml version="1.0" encoding="utf-8"?>
<formControlPr xmlns="http://schemas.microsoft.com/office/spreadsheetml/2009/9/main" objectType="CheckBox" fmlaLink="$F$188" lockText="1" noThreeD="1"/>
</file>

<file path=xl/ctrlProps/ctrlProp107.xml><?xml version="1.0" encoding="utf-8"?>
<formControlPr xmlns="http://schemas.microsoft.com/office/spreadsheetml/2009/9/main" objectType="CheckBox" fmlaLink="$F$193" lockText="1" noThreeD="1"/>
</file>

<file path=xl/ctrlProps/ctrlProp108.xml><?xml version="1.0" encoding="utf-8"?>
<formControlPr xmlns="http://schemas.microsoft.com/office/spreadsheetml/2009/9/main" objectType="CheckBox" fmlaLink="$F$194" lockText="1" noThreeD="1"/>
</file>

<file path=xl/ctrlProps/ctrlProp109.xml><?xml version="1.0" encoding="utf-8"?>
<formControlPr xmlns="http://schemas.microsoft.com/office/spreadsheetml/2009/9/main" objectType="CheckBox" fmlaLink="$F$195" lockText="1" noThreeD="1"/>
</file>

<file path=xl/ctrlProps/ctrlProp110.xml><?xml version="1.0" encoding="utf-8"?>
<formControlPr xmlns="http://schemas.microsoft.com/office/spreadsheetml/2009/9/main" objectType="CheckBox" fmlaLink="$F$196" lockText="1" noThreeD="1"/>
</file>

<file path=xl/ctrlProps/ctrlProp111.xml><?xml version="1.0" encoding="utf-8"?>
<formControlPr xmlns="http://schemas.microsoft.com/office/spreadsheetml/2009/9/main" objectType="CheckBox" fmlaLink="$F$197" lockText="1" noThreeD="1"/>
</file>

<file path=xl/ctrlProps/ctrlProp112.xml><?xml version="1.0" encoding="utf-8"?>
<formControlPr xmlns="http://schemas.microsoft.com/office/spreadsheetml/2009/9/main" objectType="CheckBox" fmlaLink="$F$198" lockText="1" noThreeD="1"/>
</file>

<file path=xl/ctrlProps/ctrlProp113.xml><?xml version="1.0" encoding="utf-8"?>
<formControlPr xmlns="http://schemas.microsoft.com/office/spreadsheetml/2009/9/main" objectType="CheckBox" fmlaLink="$F$199" lockText="1" noThreeD="1"/>
</file>

<file path=xl/ctrlProps/ctrlProp114.xml><?xml version="1.0" encoding="utf-8"?>
<formControlPr xmlns="http://schemas.microsoft.com/office/spreadsheetml/2009/9/main" objectType="CheckBox" fmlaLink="$F$200" lockText="1" noThreeD="1"/>
</file>

<file path=xl/ctrlProps/ctrlProp115.xml><?xml version="1.0" encoding="utf-8"?>
<formControlPr xmlns="http://schemas.microsoft.com/office/spreadsheetml/2009/9/main" objectType="CheckBox" fmlaLink="$F$201" lockText="1" noThreeD="1"/>
</file>

<file path=xl/ctrlProps/ctrlProp116.xml><?xml version="1.0" encoding="utf-8"?>
<formControlPr xmlns="http://schemas.microsoft.com/office/spreadsheetml/2009/9/main" objectType="CheckBox" fmlaLink="$F$202" lockText="1" noThreeD="1"/>
</file>

<file path=xl/ctrlProps/ctrlProp117.xml><?xml version="1.0" encoding="utf-8"?>
<formControlPr xmlns="http://schemas.microsoft.com/office/spreadsheetml/2009/9/main" objectType="CheckBox" fmlaLink="$F$203" lockText="1" noThreeD="1"/>
</file>

<file path=xl/ctrlProps/ctrlProp118.xml><?xml version="1.0" encoding="utf-8"?>
<formControlPr xmlns="http://schemas.microsoft.com/office/spreadsheetml/2009/9/main" objectType="CheckBox" checked="Checked" fmlaLink="$F$204" lockText="1" noThreeD="1"/>
</file>

<file path=xl/ctrlProps/ctrlProp119.xml><?xml version="1.0" encoding="utf-8"?>
<formControlPr xmlns="http://schemas.microsoft.com/office/spreadsheetml/2009/9/main" objectType="CheckBox" fmlaLink="$F$263" lockText="1" noThreeD="1"/>
</file>

<file path=xl/ctrlProps/ctrlProp120.xml><?xml version="1.0" encoding="utf-8"?>
<formControlPr xmlns="http://schemas.microsoft.com/office/spreadsheetml/2009/9/main" objectType="CheckBox" fmlaLink="$F$264" lockText="1" noThreeD="1"/>
</file>

<file path=xl/ctrlProps/ctrlProp121.xml><?xml version="1.0" encoding="utf-8"?>
<formControlPr xmlns="http://schemas.microsoft.com/office/spreadsheetml/2009/9/main" objectType="CheckBox" fmlaLink="$F$265" lockText="1" noThreeD="1"/>
</file>

<file path=xl/ctrlProps/ctrlProp122.xml><?xml version="1.0" encoding="utf-8"?>
<formControlPr xmlns="http://schemas.microsoft.com/office/spreadsheetml/2009/9/main" objectType="CheckBox" fmlaLink="$F$266" lockText="1" noThreeD="1"/>
</file>

<file path=xl/ctrlProps/ctrlProp123.xml><?xml version="1.0" encoding="utf-8"?>
<formControlPr xmlns="http://schemas.microsoft.com/office/spreadsheetml/2009/9/main" objectType="CheckBox" fmlaLink="$F$267" lockText="1" noThreeD="1"/>
</file>

<file path=xl/ctrlProps/ctrlProp124.xml><?xml version="1.0" encoding="utf-8"?>
<formControlPr xmlns="http://schemas.microsoft.com/office/spreadsheetml/2009/9/main" objectType="CheckBox" fmlaLink="$F$268" lockText="1" noThreeD="1"/>
</file>

<file path=xl/ctrlProps/ctrlProp125.xml><?xml version="1.0" encoding="utf-8"?>
<formControlPr xmlns="http://schemas.microsoft.com/office/spreadsheetml/2009/9/main" objectType="CheckBox" fmlaLink="$F$39" lockText="1" noThreeD="1"/>
</file>

<file path=xl/ctrlProps/ctrlProp126.xml><?xml version="1.0" encoding="utf-8"?>
<formControlPr xmlns="http://schemas.microsoft.com/office/spreadsheetml/2009/9/main" objectType="CheckBox" fmlaLink="$F$40" lockText="1" noThreeD="1"/>
</file>

<file path=xl/ctrlProps/ctrlProp127.xml><?xml version="1.0" encoding="utf-8"?>
<formControlPr xmlns="http://schemas.microsoft.com/office/spreadsheetml/2009/9/main" objectType="CheckBox" fmlaLink="$F$41" lockText="1" noThreeD="1"/>
</file>

<file path=xl/ctrlProps/ctrlProp128.xml><?xml version="1.0" encoding="utf-8"?>
<formControlPr xmlns="http://schemas.microsoft.com/office/spreadsheetml/2009/9/main" objectType="CheckBox" fmlaLink="$F$42" lockText="1" noThreeD="1"/>
</file>

<file path=xl/ctrlProps/ctrlProp129.xml><?xml version="1.0" encoding="utf-8"?>
<formControlPr xmlns="http://schemas.microsoft.com/office/spreadsheetml/2009/9/main" objectType="CheckBox" fmlaLink="$F$43" lockText="1" noThreeD="1"/>
</file>

<file path=xl/ctrlProps/ctrlProp130.xml><?xml version="1.0" encoding="utf-8"?>
<formControlPr xmlns="http://schemas.microsoft.com/office/spreadsheetml/2009/9/main" objectType="CheckBox" fmlaLink="$F$44" lockText="1" noThreeD="1"/>
</file>

<file path=xl/ctrlProps/ctrlProp131.xml><?xml version="1.0" encoding="utf-8"?>
<formControlPr xmlns="http://schemas.microsoft.com/office/spreadsheetml/2009/9/main" objectType="CheckBox" fmlaLink="$F$45" lockText="1" noThreeD="1"/>
</file>

<file path=xl/ctrlProps/ctrlProp132.xml><?xml version="1.0" encoding="utf-8"?>
<formControlPr xmlns="http://schemas.microsoft.com/office/spreadsheetml/2009/9/main" objectType="CheckBox" fmlaLink="$F$46" lockText="1" noThreeD="1"/>
</file>

<file path=xl/ctrlProps/ctrlProp133.xml><?xml version="1.0" encoding="utf-8"?>
<formControlPr xmlns="http://schemas.microsoft.com/office/spreadsheetml/2009/9/main" objectType="CheckBox" fmlaLink="$F$47" lockText="1" noThreeD="1"/>
</file>

<file path=xl/ctrlProps/ctrlProp134.xml><?xml version="1.0" encoding="utf-8"?>
<formControlPr xmlns="http://schemas.microsoft.com/office/spreadsheetml/2009/9/main" objectType="CheckBox" fmlaLink="$F$48" lockText="1" noThreeD="1"/>
</file>

<file path=xl/ctrlProps/ctrlProp135.xml><?xml version="1.0" encoding="utf-8"?>
<formControlPr xmlns="http://schemas.microsoft.com/office/spreadsheetml/2009/9/main" objectType="CheckBox" fmlaLink="$F$49" lockText="1" noThreeD="1"/>
</file>

<file path=xl/ctrlProps/ctrlProp136.xml><?xml version="1.0" encoding="utf-8"?>
<formControlPr xmlns="http://schemas.microsoft.com/office/spreadsheetml/2009/9/main" objectType="CheckBox" fmlaLink="$F$50" lockText="1" noThreeD="1"/>
</file>

<file path=xl/ctrlProps/ctrlProp137.xml><?xml version="1.0" encoding="utf-8"?>
<formControlPr xmlns="http://schemas.microsoft.com/office/spreadsheetml/2009/9/main" objectType="CheckBox" fmlaLink="$F$57" lockText="1" noThreeD="1"/>
</file>

<file path=xl/ctrlProps/ctrlProp138.xml><?xml version="1.0" encoding="utf-8"?>
<formControlPr xmlns="http://schemas.microsoft.com/office/spreadsheetml/2009/9/main" objectType="CheckBox" fmlaLink="$F$58" lockText="1" noThreeD="1"/>
</file>

<file path=xl/ctrlProps/ctrlProp139.xml><?xml version="1.0" encoding="utf-8"?>
<formControlPr xmlns="http://schemas.microsoft.com/office/spreadsheetml/2009/9/main" objectType="CheckBox" fmlaLink="$F$59" lockText="1" noThreeD="1"/>
</file>

<file path=xl/ctrlProps/ctrlProp140.xml><?xml version="1.0" encoding="utf-8"?>
<formControlPr xmlns="http://schemas.microsoft.com/office/spreadsheetml/2009/9/main" objectType="CheckBox" fmlaLink="$F$60" lockText="1" noThreeD="1"/>
</file>

<file path=xl/ctrlProps/ctrlProp141.xml><?xml version="1.0" encoding="utf-8"?>
<formControlPr xmlns="http://schemas.microsoft.com/office/spreadsheetml/2009/9/main" objectType="CheckBox" fmlaLink="$F$61" lockText="1" noThreeD="1"/>
</file>

<file path=xl/ctrlProps/ctrlProp142.xml><?xml version="1.0" encoding="utf-8"?>
<formControlPr xmlns="http://schemas.microsoft.com/office/spreadsheetml/2009/9/main" objectType="CheckBox" fmlaLink="$F$62" lockText="1" noThreeD="1"/>
</file>

<file path=xl/ctrlProps/ctrlProp143.xml><?xml version="1.0" encoding="utf-8"?>
<formControlPr xmlns="http://schemas.microsoft.com/office/spreadsheetml/2009/9/main" objectType="CheckBox" fmlaLink="$F$63" lockText="1" noThreeD="1"/>
</file>

<file path=xl/ctrlProps/ctrlProp144.xml><?xml version="1.0" encoding="utf-8"?>
<formControlPr xmlns="http://schemas.microsoft.com/office/spreadsheetml/2009/9/main" objectType="CheckBox" fmlaLink="$F$64" lockText="1" noThreeD="1"/>
</file>

<file path=xl/ctrlProps/ctrlProp145.xml><?xml version="1.0" encoding="utf-8"?>
<formControlPr xmlns="http://schemas.microsoft.com/office/spreadsheetml/2009/9/main" objectType="CheckBox" fmlaLink="$F$65" lockText="1" noThreeD="1"/>
</file>

<file path=xl/ctrlProps/ctrlProp146.xml><?xml version="1.0" encoding="utf-8"?>
<formControlPr xmlns="http://schemas.microsoft.com/office/spreadsheetml/2009/9/main" objectType="CheckBox" fmlaLink="$F$66" lockText="1" noThreeD="1"/>
</file>

<file path=xl/ctrlProps/ctrlProp147.xml><?xml version="1.0" encoding="utf-8"?>
<formControlPr xmlns="http://schemas.microsoft.com/office/spreadsheetml/2009/9/main" objectType="CheckBox" fmlaLink="$F$67" lockText="1" noThreeD="1"/>
</file>

<file path=xl/ctrlProps/ctrlProp148.xml><?xml version="1.0" encoding="utf-8"?>
<formControlPr xmlns="http://schemas.microsoft.com/office/spreadsheetml/2009/9/main" objectType="CheckBox" fmlaLink="$F$68" lockText="1" noThreeD="1"/>
</file>

<file path=xl/ctrlProps/ctrlProp149.xml><?xml version="1.0" encoding="utf-8"?>
<formControlPr xmlns="http://schemas.microsoft.com/office/spreadsheetml/2009/9/main" objectType="CheckBox" fmlaLink="$F$97" lockText="1" noThreeD="1"/>
</file>

<file path=xl/ctrlProps/ctrlProp150.xml><?xml version="1.0" encoding="utf-8"?>
<formControlPr xmlns="http://schemas.microsoft.com/office/spreadsheetml/2009/9/main" objectType="CheckBox" fmlaLink="$F$98" lockText="1" noThreeD="1"/>
</file>

<file path=xl/ctrlProps/ctrlProp151.xml><?xml version="1.0" encoding="utf-8"?>
<formControlPr xmlns="http://schemas.microsoft.com/office/spreadsheetml/2009/9/main" objectType="CheckBox" fmlaLink="$F$99" lockText="1" noThreeD="1"/>
</file>

<file path=xl/ctrlProps/ctrlProp152.xml><?xml version="1.0" encoding="utf-8"?>
<formControlPr xmlns="http://schemas.microsoft.com/office/spreadsheetml/2009/9/main" objectType="CheckBox" fmlaLink="$F$100" lockText="1" noThreeD="1"/>
</file>

<file path=xl/ctrlProps/ctrlProp153.xml><?xml version="1.0" encoding="utf-8"?>
<formControlPr xmlns="http://schemas.microsoft.com/office/spreadsheetml/2009/9/main" objectType="CheckBox" fmlaLink="$F$101" lockText="1" noThreeD="1"/>
</file>

<file path=xl/ctrlProps/ctrlProp154.xml><?xml version="1.0" encoding="utf-8"?>
<formControlPr xmlns="http://schemas.microsoft.com/office/spreadsheetml/2009/9/main" objectType="CheckBox" fmlaLink="$F$102" lockText="1" noThreeD="1"/>
</file>

<file path=xl/ctrlProps/ctrlProp155.xml><?xml version="1.0" encoding="utf-8"?>
<formControlPr xmlns="http://schemas.microsoft.com/office/spreadsheetml/2009/9/main" objectType="CheckBox" fmlaLink="$F$103" lockText="1" noThreeD="1"/>
</file>

<file path=xl/ctrlProps/ctrlProp156.xml><?xml version="1.0" encoding="utf-8"?>
<formControlPr xmlns="http://schemas.microsoft.com/office/spreadsheetml/2009/9/main" objectType="CheckBox" fmlaLink="$F$104" lockText="1" noThreeD="1"/>
</file>

<file path=xl/ctrlProps/ctrlProp157.xml><?xml version="1.0" encoding="utf-8"?>
<formControlPr xmlns="http://schemas.microsoft.com/office/spreadsheetml/2009/9/main" objectType="CheckBox" fmlaLink="$F$105" lockText="1" noThreeD="1"/>
</file>

<file path=xl/ctrlProps/ctrlProp158.xml><?xml version="1.0" encoding="utf-8"?>
<formControlPr xmlns="http://schemas.microsoft.com/office/spreadsheetml/2009/9/main" objectType="CheckBox" fmlaLink="$F$106" lockText="1" noThreeD="1"/>
</file>

<file path=xl/ctrlProps/ctrlProp159.xml><?xml version="1.0" encoding="utf-8"?>
<formControlPr xmlns="http://schemas.microsoft.com/office/spreadsheetml/2009/9/main" objectType="CheckBox" fmlaLink="$F$175" lockText="1" noThreeD="1"/>
</file>

<file path=xl/ctrlProps/ctrlProp160.xml><?xml version="1.0" encoding="utf-8"?>
<formControlPr xmlns="http://schemas.microsoft.com/office/spreadsheetml/2009/9/main" objectType="CheckBox" fmlaLink="$F$176" lockText="1" noThreeD="1"/>
</file>

<file path=xl/ctrlProps/ctrlProp161.xml><?xml version="1.0" encoding="utf-8"?>
<formControlPr xmlns="http://schemas.microsoft.com/office/spreadsheetml/2009/9/main" objectType="CheckBox" fmlaLink="$F$189" lockText="1" noThreeD="1"/>
</file>

<file path=xl/ctrlProps/ctrlProp162.xml><?xml version="1.0" encoding="utf-8"?>
<formControlPr xmlns="http://schemas.microsoft.com/office/spreadsheetml/2009/9/main" objectType="CheckBox" fmlaLink="$F$190" lockText="1" noThreeD="1"/>
</file>

<file path=xl/ctrlProps/ctrlProp163.xml><?xml version="1.0" encoding="utf-8"?>
<formControlPr xmlns="http://schemas.microsoft.com/office/spreadsheetml/2009/9/main" objectType="CheckBox" fmlaLink="$F$191" lockText="1" noThreeD="1"/>
</file>

<file path=xl/ctrlProps/ctrlProp164.xml><?xml version="1.0" encoding="utf-8"?>
<formControlPr xmlns="http://schemas.microsoft.com/office/spreadsheetml/2009/9/main" objectType="CheckBox" fmlaLink="$F$192" lockText="1" noThreeD="1"/>
</file>

<file path=xl/ctrlProps/ctrlProp165.xml><?xml version="1.0" encoding="utf-8"?>
<formControlPr xmlns="http://schemas.microsoft.com/office/spreadsheetml/2009/9/main" objectType="CheckBox" checked="Checked" fmlaLink="#REF!" lockText="1" noThreeD="1"/>
</file>

<file path=xl/ctrlProps/ctrlProp166.xml><?xml version="1.0" encoding="utf-8"?>
<formControlPr xmlns="http://schemas.microsoft.com/office/spreadsheetml/2009/9/main" objectType="CheckBox" fmlaLink="$F$353" lockText="1" noThreeD="1"/>
</file>

<file path=xl/ctrlProps/ctrlProp167.xml><?xml version="1.0" encoding="utf-8"?>
<formControlPr xmlns="http://schemas.microsoft.com/office/spreadsheetml/2009/9/main" objectType="CheckBox" fmlaLink="$F$354" lockText="1" noThreeD="1"/>
</file>

<file path=xl/ctrlProps/ctrlProp168.xml><?xml version="1.0" encoding="utf-8"?>
<formControlPr xmlns="http://schemas.microsoft.com/office/spreadsheetml/2009/9/main" objectType="CheckBox" fmlaLink="$F$119" lockText="1" noThreeD="1"/>
</file>

<file path=xl/ctrlProps/ctrlProp169.xml><?xml version="1.0" encoding="utf-8"?>
<formControlPr xmlns="http://schemas.microsoft.com/office/spreadsheetml/2009/9/main" objectType="CheckBox" fmlaLink="$F$120" lockText="1" noThreeD="1"/>
</file>

<file path=xl/ctrlProps/ctrlProp170.xml><?xml version="1.0" encoding="utf-8"?>
<formControlPr xmlns="http://schemas.microsoft.com/office/spreadsheetml/2009/9/main" objectType="CheckBox" fmlaLink="$F$121" lockText="1" noThreeD="1"/>
</file>

<file path=xl/ctrlProps/ctrlProp171.xml><?xml version="1.0" encoding="utf-8"?>
<formControlPr xmlns="http://schemas.microsoft.com/office/spreadsheetml/2009/9/main" objectType="CheckBox" fmlaLink="$F$122" lockText="1" noThreeD="1"/>
</file>

<file path=xl/ctrlProps/ctrlProp172.xml><?xml version="1.0" encoding="utf-8"?>
<formControlPr xmlns="http://schemas.microsoft.com/office/spreadsheetml/2009/9/main" objectType="CheckBox" fmlaLink="$F$233" lockText="1" noThreeD="1"/>
</file>

<file path=xl/ctrlProps/ctrlProp173.xml><?xml version="1.0" encoding="utf-8"?>
<formControlPr xmlns="http://schemas.microsoft.com/office/spreadsheetml/2009/9/main" objectType="CheckBox" fmlaLink="$F$234" lockText="1" noThreeD="1"/>
</file>

<file path=xl/ctrlProps/ctrlProp174.xml><?xml version="1.0" encoding="utf-8"?>
<formControlPr xmlns="http://schemas.microsoft.com/office/spreadsheetml/2009/9/main" objectType="CheckBox" fmlaLink="$F$235" lockText="1" noThreeD="1"/>
</file>

<file path=xl/ctrlProps/ctrlProp175.xml><?xml version="1.0" encoding="utf-8"?>
<formControlPr xmlns="http://schemas.microsoft.com/office/spreadsheetml/2009/9/main" objectType="CheckBox" fmlaLink="$F$236" lockText="1" noThreeD="1"/>
</file>

<file path=xl/ctrlProps/ctrlProp176.xml><?xml version="1.0" encoding="utf-8"?>
<formControlPr xmlns="http://schemas.microsoft.com/office/spreadsheetml/2009/9/main" objectType="CheckBox" fmlaLink="$F$237" lockText="1" noThreeD="1"/>
</file>

<file path=xl/ctrlProps/ctrlProp177.xml><?xml version="1.0" encoding="utf-8"?>
<formControlPr xmlns="http://schemas.microsoft.com/office/spreadsheetml/2009/9/main" objectType="CheckBox" fmlaLink="$F$238" lockText="1" noThreeD="1"/>
</file>

<file path=xl/ctrlProps/ctrlProp178.xml><?xml version="1.0" encoding="utf-8"?>
<formControlPr xmlns="http://schemas.microsoft.com/office/spreadsheetml/2009/9/main" objectType="CheckBox" fmlaLink="$F$239" lockText="1" noThreeD="1"/>
</file>

<file path=xl/ctrlProps/ctrlProp179.xml><?xml version="1.0" encoding="utf-8"?>
<formControlPr xmlns="http://schemas.microsoft.com/office/spreadsheetml/2009/9/main" objectType="CheckBox" fmlaLink="$F$240" lockText="1" noThreeD="1"/>
</file>

<file path=xl/ctrlProps/ctrlProp180.xml><?xml version="1.0" encoding="utf-8"?>
<formControlPr xmlns="http://schemas.microsoft.com/office/spreadsheetml/2009/9/main" objectType="CheckBox" checked="Checked" fmlaLink="#REF!" lockText="1" noThreeD="1"/>
</file>

<file path=xl/ctrlProps/ctrlProp181.xml><?xml version="1.0" encoding="utf-8"?>
<formControlPr xmlns="http://schemas.microsoft.com/office/spreadsheetml/2009/9/main" objectType="CheckBox" fmlaLink="$F$253" lockText="1" noThreeD="1"/>
</file>

<file path=xl/ctrlProps/ctrlProp182.xml><?xml version="1.0" encoding="utf-8"?>
<formControlPr xmlns="http://schemas.microsoft.com/office/spreadsheetml/2009/9/main" objectType="CheckBox" fmlaLink="$F$254" lockText="1" noThreeD="1"/>
</file>

<file path=xl/ctrlProps/ctrlProp183.xml><?xml version="1.0" encoding="utf-8"?>
<formControlPr xmlns="http://schemas.microsoft.com/office/spreadsheetml/2009/9/main" objectType="CheckBox" fmlaLink="$F$255" lockText="1" noThreeD="1"/>
</file>

<file path=xl/ctrlProps/ctrlProp184.xml><?xml version="1.0" encoding="utf-8"?>
<formControlPr xmlns="http://schemas.microsoft.com/office/spreadsheetml/2009/9/main" objectType="CheckBox" fmlaLink="$F$256" lockText="1" noThreeD="1"/>
</file>

<file path=xl/ctrlProps/ctrlProp185.xml><?xml version="1.0" encoding="utf-8"?>
<formControlPr xmlns="http://schemas.microsoft.com/office/spreadsheetml/2009/9/main" objectType="CheckBox" fmlaLink="$F$257" lockText="1" noThreeD="1"/>
</file>

<file path=xl/ctrlProps/ctrlProp186.xml><?xml version="1.0" encoding="utf-8"?>
<formControlPr xmlns="http://schemas.microsoft.com/office/spreadsheetml/2009/9/main" objectType="CheckBox" fmlaLink="$F$258" lockText="1" noThreeD="1"/>
</file>

<file path=xl/ctrlProps/ctrlProp187.xml><?xml version="1.0" encoding="utf-8"?>
<formControlPr xmlns="http://schemas.microsoft.com/office/spreadsheetml/2009/9/main" objectType="CheckBox" fmlaLink="$F$259" lockText="1" noThreeD="1"/>
</file>

<file path=xl/ctrlProps/ctrlProp188.xml><?xml version="1.0" encoding="utf-8"?>
<formControlPr xmlns="http://schemas.microsoft.com/office/spreadsheetml/2009/9/main" objectType="CheckBox" fmlaLink="$F$260" lockText="1" noThreeD="1"/>
</file>

<file path=xl/ctrlProps/ctrlProp189.xml><?xml version="1.0" encoding="utf-8"?>
<formControlPr xmlns="http://schemas.microsoft.com/office/spreadsheetml/2009/9/main" objectType="CheckBox" fmlaLink="$F$349" lockText="1" noThreeD="1"/>
</file>

<file path=xl/ctrlProps/ctrlProp190.xml><?xml version="1.0" encoding="utf-8"?>
<formControlPr xmlns="http://schemas.microsoft.com/office/spreadsheetml/2009/9/main" objectType="CheckBox" fmlaLink="$F$350" lockText="1" noThreeD="1"/>
</file>

<file path=xl/ctrlProps/ctrlProp191.xml><?xml version="1.0" encoding="utf-8"?>
<formControlPr xmlns="http://schemas.microsoft.com/office/spreadsheetml/2009/9/main" objectType="CheckBox" fmlaLink="$F$331" lockText="1" noThreeD="1"/>
</file>

<file path=xl/ctrlProps/ctrlProp192.xml><?xml version="1.0" encoding="utf-8"?>
<formControlPr xmlns="http://schemas.microsoft.com/office/spreadsheetml/2009/9/main" objectType="CheckBox" fmlaLink="$F$332" lockText="1" noThreeD="1"/>
</file>

<file path=xl/ctrlProps/ctrlProp193.xml><?xml version="1.0" encoding="utf-8"?>
<formControlPr xmlns="http://schemas.microsoft.com/office/spreadsheetml/2009/9/main" objectType="CheckBox" fmlaLink="$F$351" lockText="1" noThreeD="1"/>
</file>

<file path=xl/ctrlProps/ctrlProp194.xml><?xml version="1.0" encoding="utf-8"?>
<formControlPr xmlns="http://schemas.microsoft.com/office/spreadsheetml/2009/9/main" objectType="CheckBox" fmlaLink="$F$352" lockText="1" noThreeD="1"/>
</file>

<file path=xl/ctrlProps/ctrlProp195.xml><?xml version="1.0" encoding="utf-8"?>
<formControlPr xmlns="http://schemas.microsoft.com/office/spreadsheetml/2009/9/main" objectType="CheckBox" checked="Checked" fmlaLink="#REF!" lockText="1" noThreeD="1"/>
</file>

<file path=xl/ctrlProps/ctrlProp196.xml><?xml version="1.0" encoding="utf-8"?>
<formControlPr xmlns="http://schemas.microsoft.com/office/spreadsheetml/2009/9/main" objectType="CheckBox" fmlaLink="$F$141" lockText="1" noThreeD="1"/>
</file>

<file path=xl/ctrlProps/ctrlProp197.xml><?xml version="1.0" encoding="utf-8"?>
<formControlPr xmlns="http://schemas.microsoft.com/office/spreadsheetml/2009/9/main" objectType="CheckBox" fmlaLink="$F$142" lockText="1" noThreeD="1"/>
</file>

<file path=xl/ctrlProps/ctrlProp198.xml><?xml version="1.0" encoding="utf-8"?>
<formControlPr xmlns="http://schemas.microsoft.com/office/spreadsheetml/2009/9/main" objectType="CheckBox" fmlaLink="$F$143" lockText="1" noThreeD="1"/>
</file>

<file path=xl/ctrlProps/ctrlProp199.xml><?xml version="1.0" encoding="utf-8"?>
<formControlPr xmlns="http://schemas.microsoft.com/office/spreadsheetml/2009/9/main" objectType="CheckBox" fmlaLink="$F$144" lockText="1" noThreeD="1"/>
</file>

<file path=xl/ctrlProps/ctrlProp200.xml><?xml version="1.0" encoding="utf-8"?>
<formControlPr xmlns="http://schemas.microsoft.com/office/spreadsheetml/2009/9/main" objectType="CheckBox" fmlaLink="$F$145" lockText="1" noThreeD="1"/>
</file>

<file path=xl/ctrlProps/ctrlProp201.xml><?xml version="1.0" encoding="utf-8"?>
<formControlPr xmlns="http://schemas.microsoft.com/office/spreadsheetml/2009/9/main" objectType="CheckBox" fmlaLink="$F$146" lockText="1" noThreeD="1"/>
</file>

<file path=xl/ctrlProps/ctrlProp202.xml><?xml version="1.0" encoding="utf-8"?>
<formControlPr xmlns="http://schemas.microsoft.com/office/spreadsheetml/2009/9/main" objectType="CheckBox" fmlaLink="$F$147" lockText="1" noThreeD="1"/>
</file>

<file path=xl/ctrlProps/ctrlProp203.xml><?xml version="1.0" encoding="utf-8"?>
<formControlPr xmlns="http://schemas.microsoft.com/office/spreadsheetml/2009/9/main" objectType="CheckBox" fmlaLink="$F$148" lockText="1" noThreeD="1"/>
</file>

<file path=xl/ctrlProps/ctrlProp204.xml><?xml version="1.0" encoding="utf-8"?>
<formControlPr xmlns="http://schemas.microsoft.com/office/spreadsheetml/2009/9/main" objectType="CheckBox" fmlaLink="$F$149" lockText="1" noThreeD="1"/>
</file>

<file path=xl/ctrlProps/ctrlProp205.xml><?xml version="1.0" encoding="utf-8"?>
<formControlPr xmlns="http://schemas.microsoft.com/office/spreadsheetml/2009/9/main" objectType="CheckBox" fmlaLink="$F$150" lockText="1" noThreeD="1"/>
</file>

<file path=xl/ctrlProps/ctrlProp206.xml><?xml version="1.0" encoding="utf-8"?>
<formControlPr xmlns="http://schemas.microsoft.com/office/spreadsheetml/2009/9/main" objectType="CheckBox" fmlaLink="$F$151" lockText="1" noThreeD="1"/>
</file>

<file path=xl/ctrlProps/ctrlProp207.xml><?xml version="1.0" encoding="utf-8"?>
<formControlPr xmlns="http://schemas.microsoft.com/office/spreadsheetml/2009/9/main" objectType="CheckBox" fmlaLink="$F$152" lockText="1" noThreeD="1"/>
</file>

<file path=xl/ctrlProps/ctrlProp208.xml><?xml version="1.0" encoding="utf-8"?>
<formControlPr xmlns="http://schemas.microsoft.com/office/spreadsheetml/2009/9/main" objectType="CheckBox" fmlaLink="$F$347" lockText="1" noThreeD="1"/>
</file>

<file path=xl/ctrlProps/ctrlProp209.xml><?xml version="1.0" encoding="utf-8"?>
<formControlPr xmlns="http://schemas.microsoft.com/office/spreadsheetml/2009/9/main" objectType="CheckBox" fmlaLink="$F$348" lockText="1" noThreeD="1"/>
</file>

<file path=xl/ctrlProps/ctrlProp210.xml><?xml version="1.0" encoding="utf-8"?>
<formControlPr xmlns="http://schemas.microsoft.com/office/spreadsheetml/2009/9/main" objectType="CheckBox" checked="Checked" fmlaLink="#REF!" lockText="1" noThreeD="1"/>
</file>

<file path=xl/ctrlProps/ctrlProp211.xml><?xml version="1.0" encoding="utf-8"?>
<formControlPr xmlns="http://schemas.microsoft.com/office/spreadsheetml/2009/9/main" objectType="CheckBox" fmlaLink="$F$335" lockText="1" noThreeD="1"/>
</file>

<file path=xl/ctrlProps/ctrlProp212.xml><?xml version="1.0" encoding="utf-8"?>
<formControlPr xmlns="http://schemas.microsoft.com/office/spreadsheetml/2009/9/main" objectType="CheckBox" fmlaLink="$F$336" lockText="1" noThreeD="1"/>
</file>

<file path=xl/ctrlProps/ctrlProp213.xml><?xml version="1.0" encoding="utf-8"?>
<formControlPr xmlns="http://schemas.microsoft.com/office/spreadsheetml/2009/9/main" objectType="CheckBox" fmlaLink="$F$337" lockText="1" noThreeD="1"/>
</file>

<file path=xl/ctrlProps/ctrlProp214.xml><?xml version="1.0" encoding="utf-8"?>
<formControlPr xmlns="http://schemas.microsoft.com/office/spreadsheetml/2009/9/main" objectType="CheckBox" fmlaLink="$F$338" lockText="1" noThreeD="1"/>
</file>

<file path=xl/ctrlProps/ctrlProp215.xml><?xml version="1.0" encoding="utf-8"?>
<formControlPr xmlns="http://schemas.microsoft.com/office/spreadsheetml/2009/9/main" objectType="CheckBox" fmlaLink="$F$339" lockText="1" noThreeD="1"/>
</file>

<file path=xl/ctrlProps/ctrlProp216.xml><?xml version="1.0" encoding="utf-8"?>
<formControlPr xmlns="http://schemas.microsoft.com/office/spreadsheetml/2009/9/main" objectType="CheckBox" fmlaLink="$F$340" lockText="1" noThreeD="1"/>
</file>

<file path=xl/ctrlProps/ctrlProp217.xml><?xml version="1.0" encoding="utf-8"?>
<formControlPr xmlns="http://schemas.microsoft.com/office/spreadsheetml/2009/9/main" objectType="CheckBox" fmlaLink="$F$341" lockText="1" noThreeD="1"/>
</file>

<file path=xl/ctrlProps/ctrlProp218.xml><?xml version="1.0" encoding="utf-8"?>
<formControlPr xmlns="http://schemas.microsoft.com/office/spreadsheetml/2009/9/main" objectType="CheckBox" fmlaLink="$F$342" lockText="1" noThreeD="1"/>
</file>

<file path=xl/ctrlProps/ctrlProp219.xml><?xml version="1.0" encoding="utf-8"?>
<formControlPr xmlns="http://schemas.microsoft.com/office/spreadsheetml/2009/9/main" objectType="CheckBox" fmlaLink="$F$311" lockText="1" noThreeD="1"/>
</file>

<file path=xl/ctrlProps/ctrlProp220.xml><?xml version="1.0" encoding="utf-8"?>
<formControlPr xmlns="http://schemas.microsoft.com/office/spreadsheetml/2009/9/main" objectType="CheckBox" fmlaLink="$F$312" lockText="1" noThreeD="1"/>
</file>

<file path=xl/ctrlProps/ctrlProp221.xml><?xml version="1.0" encoding="utf-8"?>
<formControlPr xmlns="http://schemas.microsoft.com/office/spreadsheetml/2009/9/main" objectType="CheckBox" fmlaLink="$F$343" lockText="1" noThreeD="1"/>
</file>

<file path=xl/ctrlProps/ctrlProp222.xml><?xml version="1.0" encoding="utf-8"?>
<formControlPr xmlns="http://schemas.microsoft.com/office/spreadsheetml/2009/9/main" objectType="CheckBox" fmlaLink="$F$344" lockText="1" noThreeD="1"/>
</file>

<file path=xl/ctrlProps/ctrlProp223.xml><?xml version="1.0" encoding="utf-8"?>
<formControlPr xmlns="http://schemas.microsoft.com/office/spreadsheetml/2009/9/main" objectType="CheckBox" fmlaLink="$F$345" lockText="1" noThreeD="1"/>
</file>

<file path=xl/ctrlProps/ctrlProp224.xml><?xml version="1.0" encoding="utf-8"?>
<formControlPr xmlns="http://schemas.microsoft.com/office/spreadsheetml/2009/9/main" objectType="CheckBox" fmlaLink="$F$346" lockText="1" noThreeD="1"/>
</file>

<file path=xl/ctrlProps/ctrlProp225.xml><?xml version="1.0" encoding="utf-8"?>
<formControlPr xmlns="http://schemas.microsoft.com/office/spreadsheetml/2009/9/main" objectType="CheckBox" checked="Checked" fmlaLink="#REF!" lockText="1" noThreeD="1"/>
</file>

<file path=xl/ctrlProps/ctrlProp226.xml><?xml version="1.0" encoding="utf-8"?>
<formControlPr xmlns="http://schemas.microsoft.com/office/spreadsheetml/2009/9/main" objectType="CheckBox" fmlaLink="$F$319" lockText="1" noThreeD="1"/>
</file>

<file path=xl/ctrlProps/ctrlProp227.xml><?xml version="1.0" encoding="utf-8"?>
<formControlPr xmlns="http://schemas.microsoft.com/office/spreadsheetml/2009/9/main" objectType="CheckBox" fmlaLink="$F$320" lockText="1" noThreeD="1"/>
</file>

<file path=xl/ctrlProps/ctrlProp228.xml><?xml version="1.0" encoding="utf-8"?>
<formControlPr xmlns="http://schemas.microsoft.com/office/spreadsheetml/2009/9/main" objectType="CheckBox" fmlaLink="$F$321" lockText="1" noThreeD="1"/>
</file>

<file path=xl/ctrlProps/ctrlProp229.xml><?xml version="1.0" encoding="utf-8"?>
<formControlPr xmlns="http://schemas.microsoft.com/office/spreadsheetml/2009/9/main" objectType="CheckBox" fmlaLink="$F$322" lockText="1" noThreeD="1"/>
</file>

<file path=xl/ctrlProps/ctrlProp230.xml><?xml version="1.0" encoding="utf-8"?>
<formControlPr xmlns="http://schemas.microsoft.com/office/spreadsheetml/2009/9/main" objectType="CheckBox" fmlaLink="$F$323" lockText="1" noThreeD="1"/>
</file>

<file path=xl/ctrlProps/ctrlProp231.xml><?xml version="1.0" encoding="utf-8"?>
<formControlPr xmlns="http://schemas.microsoft.com/office/spreadsheetml/2009/9/main" objectType="CheckBox" fmlaLink="$F$324" lockText="1" noThreeD="1"/>
</file>

<file path=xl/ctrlProps/ctrlProp232.xml><?xml version="1.0" encoding="utf-8"?>
<formControlPr xmlns="http://schemas.microsoft.com/office/spreadsheetml/2009/9/main" objectType="CheckBox" fmlaLink="$F$325" lockText="1" noThreeD="1"/>
</file>

<file path=xl/ctrlProps/ctrlProp233.xml><?xml version="1.0" encoding="utf-8"?>
<formControlPr xmlns="http://schemas.microsoft.com/office/spreadsheetml/2009/9/main" objectType="CheckBox" fmlaLink="$F$326" lockText="1" noThreeD="1"/>
</file>

<file path=xl/ctrlProps/ctrlProp234.xml><?xml version="1.0" encoding="utf-8"?>
<formControlPr xmlns="http://schemas.microsoft.com/office/spreadsheetml/2009/9/main" objectType="CheckBox" fmlaLink="$F$327" lockText="1" noThreeD="1"/>
</file>

<file path=xl/ctrlProps/ctrlProp235.xml><?xml version="1.0" encoding="utf-8"?>
<formControlPr xmlns="http://schemas.microsoft.com/office/spreadsheetml/2009/9/main" objectType="CheckBox" fmlaLink="$F$328" lockText="1" noThreeD="1"/>
</file>

<file path=xl/ctrlProps/ctrlProp236.xml><?xml version="1.0" encoding="utf-8"?>
<formControlPr xmlns="http://schemas.microsoft.com/office/spreadsheetml/2009/9/main" objectType="CheckBox" fmlaLink="$F$329" lockText="1" noThreeD="1"/>
</file>

<file path=xl/ctrlProps/ctrlProp237.xml><?xml version="1.0" encoding="utf-8"?>
<formControlPr xmlns="http://schemas.microsoft.com/office/spreadsheetml/2009/9/main" objectType="CheckBox" fmlaLink="$F$330" lockText="1" noThreeD="1"/>
</file>

<file path=xl/ctrlProps/ctrlProp238.xml><?xml version="1.0" encoding="utf-8"?>
<formControlPr xmlns="http://schemas.microsoft.com/office/spreadsheetml/2009/9/main" objectType="CheckBox" fmlaLink="$F$333" lockText="1" noThreeD="1"/>
</file>

<file path=xl/ctrlProps/ctrlProp239.xml><?xml version="1.0" encoding="utf-8"?>
<formControlPr xmlns="http://schemas.microsoft.com/office/spreadsheetml/2009/9/main" objectType="CheckBox" fmlaLink="$F$334" lockText="1" noThreeD="1"/>
</file>

<file path=xl/ctrlProps/ctrlProp240.xml><?xml version="1.0" encoding="utf-8"?>
<formControlPr xmlns="http://schemas.microsoft.com/office/spreadsheetml/2009/9/main" objectType="CheckBox" checked="Checked" fmlaLink="#REF!" lockText="1" noThreeD="1"/>
</file>

<file path=xl/ctrlProps/ctrlProp241.xml><?xml version="1.0" encoding="utf-8"?>
<formControlPr xmlns="http://schemas.microsoft.com/office/spreadsheetml/2009/9/main" objectType="CheckBox" fmlaLink="$F$271" lockText="1" noThreeD="1"/>
</file>

<file path=xl/ctrlProps/ctrlProp242.xml><?xml version="1.0" encoding="utf-8"?>
<formControlPr xmlns="http://schemas.microsoft.com/office/spreadsheetml/2009/9/main" objectType="CheckBox" fmlaLink="$F$272" lockText="1" noThreeD="1"/>
</file>

<file path=xl/ctrlProps/ctrlProp243.xml><?xml version="1.0" encoding="utf-8"?>
<formControlPr xmlns="http://schemas.microsoft.com/office/spreadsheetml/2009/9/main" objectType="CheckBox" fmlaLink="$F$273" lockText="1" noThreeD="1"/>
</file>

<file path=xl/ctrlProps/ctrlProp244.xml><?xml version="1.0" encoding="utf-8"?>
<formControlPr xmlns="http://schemas.microsoft.com/office/spreadsheetml/2009/9/main" objectType="CheckBox" fmlaLink="$F$274" lockText="1" noThreeD="1"/>
</file>

<file path=xl/ctrlProps/ctrlProp245.xml><?xml version="1.0" encoding="utf-8"?>
<formControlPr xmlns="http://schemas.microsoft.com/office/spreadsheetml/2009/9/main" objectType="CheckBox" fmlaLink="$F$275" lockText="1" noThreeD="1"/>
</file>

<file path=xl/ctrlProps/ctrlProp246.xml><?xml version="1.0" encoding="utf-8"?>
<formControlPr xmlns="http://schemas.microsoft.com/office/spreadsheetml/2009/9/main" objectType="CheckBox" fmlaLink="$F$276" lockText="1" noThreeD="1"/>
</file>

<file path=xl/ctrlProps/ctrlProp247.xml><?xml version="1.0" encoding="utf-8"?>
<formControlPr xmlns="http://schemas.microsoft.com/office/spreadsheetml/2009/9/main" objectType="CheckBox" checked="Checked" fmlaLink="#REF!" lockText="1" noThreeD="1"/>
</file>

<file path=xl/ctrlProps/ctrlProp248.xml><?xml version="1.0" encoding="utf-8"?>
<formControlPr xmlns="http://schemas.microsoft.com/office/spreadsheetml/2009/9/main" objectType="CheckBox" fmlaLink="$F$269" lockText="1" noThreeD="1"/>
</file>

<file path=xl/ctrlProps/ctrlProp249.xml><?xml version="1.0" encoding="utf-8"?>
<formControlPr xmlns="http://schemas.microsoft.com/office/spreadsheetml/2009/9/main" objectType="CheckBox" fmlaLink="$F$270" lockText="1" noThreeD="1"/>
</file>

<file path=xl/ctrlProps/ctrlProp250.xml><?xml version="1.0" encoding="utf-8"?>
<formControlPr xmlns="http://schemas.microsoft.com/office/spreadsheetml/2009/9/main" objectType="CheckBox" checked="Checked" fmlaLink="#REF!" lockText="1" noThreeD="1"/>
</file>

<file path=xl/ctrlProps/ctrlProp251.xml><?xml version="1.0" encoding="utf-8"?>
<formControlPr xmlns="http://schemas.microsoft.com/office/spreadsheetml/2009/9/main" objectType="CheckBox" fmlaLink="$F$279" lockText="1" noThreeD="1"/>
</file>

<file path=xl/ctrlProps/ctrlProp252.xml><?xml version="1.0" encoding="utf-8"?>
<formControlPr xmlns="http://schemas.microsoft.com/office/spreadsheetml/2009/9/main" objectType="CheckBox" fmlaLink="$F$280" lockText="1" noThreeD="1"/>
</file>

<file path=xl/ctrlProps/ctrlProp253.xml><?xml version="1.0" encoding="utf-8"?>
<formControlPr xmlns="http://schemas.microsoft.com/office/spreadsheetml/2009/9/main" objectType="CheckBox" fmlaLink="$F281" lockText="1" noThreeD="1"/>
</file>

<file path=xl/ctrlProps/ctrlProp254.xml><?xml version="1.0" encoding="utf-8"?>
<formControlPr xmlns="http://schemas.microsoft.com/office/spreadsheetml/2009/9/main" objectType="CheckBox" fmlaLink="$F$282" lockText="1" noThreeD="1"/>
</file>

<file path=xl/ctrlProps/ctrlProp255.xml><?xml version="1.0" encoding="utf-8"?>
<formControlPr xmlns="http://schemas.microsoft.com/office/spreadsheetml/2009/9/main" objectType="CheckBox" fmlaLink="$F$283" lockText="1" noThreeD="1"/>
</file>

<file path=xl/ctrlProps/ctrlProp256.xml><?xml version="1.0" encoding="utf-8"?>
<formControlPr xmlns="http://schemas.microsoft.com/office/spreadsheetml/2009/9/main" objectType="CheckBox" fmlaLink="$F$284" lockText="1" noThreeD="1"/>
</file>

<file path=xl/ctrlProps/ctrlProp257.xml><?xml version="1.0" encoding="utf-8"?>
<formControlPr xmlns="http://schemas.microsoft.com/office/spreadsheetml/2009/9/main" objectType="CheckBox" fmlaLink="$F$75" lockText="1" noThreeD="1"/>
</file>

<file path=xl/ctrlProps/ctrlProp258.xml><?xml version="1.0" encoding="utf-8"?>
<formControlPr xmlns="http://schemas.microsoft.com/office/spreadsheetml/2009/9/main" objectType="CheckBox" fmlaLink="$F$76" lockText="1" noThreeD="1"/>
</file>

<file path=xl/ctrlProps/ctrlProp259.xml><?xml version="1.0" encoding="utf-8"?>
<formControlPr xmlns="http://schemas.microsoft.com/office/spreadsheetml/2009/9/main" objectType="CheckBox" fmlaLink="$F$77" lockText="1" noThreeD="1"/>
</file>

<file path=xl/ctrlProps/ctrlProp260.xml><?xml version="1.0" encoding="utf-8"?>
<formControlPr xmlns="http://schemas.microsoft.com/office/spreadsheetml/2009/9/main" objectType="CheckBox" fmlaLink="$F$78" lockText="1" noThreeD="1"/>
</file>

<file path=xl/ctrlProps/ctrlProp261.xml><?xml version="1.0" encoding="utf-8"?>
<formControlPr xmlns="http://schemas.microsoft.com/office/spreadsheetml/2009/9/main" objectType="CheckBox" fmlaLink="$F$79" lockText="1" noThreeD="1"/>
</file>

<file path=xl/ctrlProps/ctrlProp262.xml><?xml version="1.0" encoding="utf-8"?>
<formControlPr xmlns="http://schemas.microsoft.com/office/spreadsheetml/2009/9/main" objectType="CheckBox" fmlaLink="$F$80" lockText="1" noThreeD="1"/>
</file>

<file path=xl/ctrlProps/ctrlProp263.xml><?xml version="1.0" encoding="utf-8"?>
<formControlPr xmlns="http://schemas.microsoft.com/office/spreadsheetml/2009/9/main" objectType="CheckBox" fmlaLink="$F$81" lockText="1" noThreeD="1"/>
</file>

<file path=xl/ctrlProps/ctrlProp264.xml><?xml version="1.0" encoding="utf-8"?>
<formControlPr xmlns="http://schemas.microsoft.com/office/spreadsheetml/2009/9/main" objectType="CheckBox" fmlaLink="$F$82" lockText="1" noThreeD="1"/>
</file>

<file path=xl/ctrlProps/ctrlProp265.xml><?xml version="1.0" encoding="utf-8"?>
<formControlPr xmlns="http://schemas.microsoft.com/office/spreadsheetml/2009/9/main" objectType="CheckBox" checked="Checked" fmlaLink="#REF!" lockText="1" noThreeD="1"/>
</file>

<file path=xl/ctrlProps/ctrlProp266.xml><?xml version="1.0" encoding="utf-8"?>
<formControlPr xmlns="http://schemas.microsoft.com/office/spreadsheetml/2009/9/main" objectType="CheckBox" fmlaLink="$F$115" lockText="1" noThreeD="1"/>
</file>

<file path=xl/ctrlProps/ctrlProp267.xml><?xml version="1.0" encoding="utf-8"?>
<formControlPr xmlns="http://schemas.microsoft.com/office/spreadsheetml/2009/9/main" objectType="CheckBox" fmlaLink="$F$116" lockText="1" noThreeD="1"/>
</file>

<file path=xl/ctrlProps/ctrlProp268.xml><?xml version="1.0" encoding="utf-8"?>
<formControlPr xmlns="http://schemas.microsoft.com/office/spreadsheetml/2009/9/main" objectType="CheckBox" fmlaLink="$F$117" lockText="1" noThreeD="1"/>
</file>

<file path=xl/ctrlProps/ctrlProp269.xml><?xml version="1.0" encoding="utf-8"?>
<formControlPr xmlns="http://schemas.microsoft.com/office/spreadsheetml/2009/9/main" objectType="CheckBox" fmlaLink="$F$118" lockText="1" noThreeD="1"/>
</file>

<file path=xl/ctrlProps/ctrlProp270.xml><?xml version="1.0" encoding="utf-8"?>
<formControlPr xmlns="http://schemas.microsoft.com/office/spreadsheetml/2009/9/main" objectType="CheckBox" fmlaLink="$F$153" lockText="1" noThreeD="1"/>
</file>

<file path=xl/ctrlProps/ctrlProp271.xml><?xml version="1.0" encoding="utf-8"?>
<formControlPr xmlns="http://schemas.microsoft.com/office/spreadsheetml/2009/9/main" objectType="CheckBox" fmlaLink="$F$154" lockText="1" noThreeD="1"/>
</file>

<file path=xl/ctrlProps/ctrlProp272.xml><?xml version="1.0" encoding="utf-8"?>
<formControlPr xmlns="http://schemas.microsoft.com/office/spreadsheetml/2009/9/main" objectType="CheckBox" fmlaLink="$F$155" lockText="1" noThreeD="1"/>
</file>

<file path=xl/ctrlProps/ctrlProp273.xml><?xml version="1.0" encoding="utf-8"?>
<formControlPr xmlns="http://schemas.microsoft.com/office/spreadsheetml/2009/9/main" objectType="CheckBox" fmlaLink="$F$156" lockText="1" noThreeD="1"/>
</file>

<file path=xl/ctrlProps/ctrlProp274.xml><?xml version="1.0" encoding="utf-8"?>
<formControlPr xmlns="http://schemas.microsoft.com/office/spreadsheetml/2009/9/main" objectType="CheckBox" fmlaLink="$F$261" lockText="1" noThreeD="1"/>
</file>

<file path=xl/ctrlProps/ctrlProp275.xml><?xml version="1.0" encoding="utf-8"?>
<formControlPr xmlns="http://schemas.microsoft.com/office/spreadsheetml/2009/9/main" objectType="CheckBox" fmlaLink="$F$262" lockText="1" noThreeD="1"/>
</file>

<file path=xl/ctrlProps/ctrlProp276.xml><?xml version="1.0" encoding="utf-8"?>
<formControlPr xmlns="http://schemas.microsoft.com/office/spreadsheetml/2009/9/main" objectType="CheckBox" fmlaLink="$F$205" lockText="1" noThreeD="1"/>
</file>

<file path=xl/ctrlProps/ctrlProp277.xml><?xml version="1.0" encoding="utf-8"?>
<formControlPr xmlns="http://schemas.microsoft.com/office/spreadsheetml/2009/9/main" objectType="CheckBox" fmlaLink="$F$206" lockText="1" noThreeD="1"/>
</file>

<file path=xl/ctrlProps/ctrlProp278.xml><?xml version="1.0" encoding="utf-8"?>
<formControlPr xmlns="http://schemas.microsoft.com/office/spreadsheetml/2009/9/main" objectType="CheckBox" fmlaLink="$F$277" lockText="1" noThreeD="1"/>
</file>

<file path=xl/ctrlProps/ctrlProp279.xml><?xml version="1.0" encoding="utf-8"?>
<formControlPr xmlns="http://schemas.microsoft.com/office/spreadsheetml/2009/9/main" objectType="CheckBox" fmlaLink="$F$278" lockText="1" noThreeD="1"/>
</file>

<file path=xl/ctrlProps/ctrlProp280.xml><?xml version="1.0" encoding="utf-8"?>
<formControlPr xmlns="http://schemas.microsoft.com/office/spreadsheetml/2009/9/main" objectType="CheckBox" checked="Checked" fmlaLink="#REF!" lockText="1" noThreeD="1"/>
</file>

<file path=xl/ctrlProps/ctrlProp281.xml><?xml version="1.0" encoding="utf-8"?>
<formControlPr xmlns="http://schemas.microsoft.com/office/spreadsheetml/2009/9/main" objectType="CheckBox" fmlaLink="$F$107" lockText="1" noThreeD="1"/>
</file>

<file path=xl/ctrlProps/ctrlProp282.xml><?xml version="1.0" encoding="utf-8"?>
<formControlPr xmlns="http://schemas.microsoft.com/office/spreadsheetml/2009/9/main" objectType="CheckBox" fmlaLink="$F$108" lockText="1" noThreeD="1"/>
</file>

<file path=xl/ctrlProps/ctrlProp283.xml><?xml version="1.0" encoding="utf-8"?>
<formControlPr xmlns="http://schemas.microsoft.com/office/spreadsheetml/2009/9/main" objectType="CheckBox" fmlaLink="$F$109" lockText="1" noThreeD="1"/>
</file>

<file path=xl/ctrlProps/ctrlProp284.xml><?xml version="1.0" encoding="utf-8"?>
<formControlPr xmlns="http://schemas.microsoft.com/office/spreadsheetml/2009/9/main" objectType="CheckBox" fmlaLink="$F$110" lockText="1" noThreeD="1"/>
</file>

<file path=xl/ctrlProps/ctrlProp285.xml><?xml version="1.0" encoding="utf-8"?>
<formControlPr xmlns="http://schemas.microsoft.com/office/spreadsheetml/2009/9/main" objectType="CheckBox" fmlaLink="$F$113" lockText="1" noThreeD="1"/>
</file>

<file path=xl/ctrlProps/ctrlProp286.xml><?xml version="1.0" encoding="utf-8"?>
<formControlPr xmlns="http://schemas.microsoft.com/office/spreadsheetml/2009/9/main" objectType="CheckBox" fmlaLink="$F$114" lockText="1" noThreeD="1"/>
</file>

<file path=xl/ctrlProps/ctrlProp287.xml><?xml version="1.0" encoding="utf-8"?>
<formControlPr xmlns="http://schemas.microsoft.com/office/spreadsheetml/2009/9/main" objectType="CheckBox" checked="Checked" fmlaLink="#REF!" lockText="1" noThreeD="1"/>
</file>

<file path=xl/ctrlProps/ctrlProp288.xml><?xml version="1.0" encoding="utf-8"?>
<formControlPr xmlns="http://schemas.microsoft.com/office/spreadsheetml/2009/9/main" objectType="CheckBox" fmlaLink="$F$73" lockText="1" noThreeD="1"/>
</file>

<file path=xl/ctrlProps/ctrlProp289.xml><?xml version="1.0" encoding="utf-8"?>
<formControlPr xmlns="http://schemas.microsoft.com/office/spreadsheetml/2009/9/main" objectType="CheckBox" fmlaLink="$F$74" lockText="1" noThreeD="1"/>
</file>

<file path=xl/ctrlProps/ctrlProp290.xml><?xml version="1.0" encoding="utf-8"?>
<formControlPr xmlns="http://schemas.microsoft.com/office/spreadsheetml/2009/9/main" objectType="CheckBox" checked="Checked" fmlaLink="#REF!" lockText="1" noThreeD="1"/>
</file>

<file path=xl/ctrlProps/ctrlProp291.xml><?xml version="1.0" encoding="utf-8"?>
<formControlPr xmlns="http://schemas.microsoft.com/office/spreadsheetml/2009/9/main" objectType="CheckBox" fmlaLink="$F$9" lockText="1" noThreeD="1"/>
</file>

<file path=xl/ctrlProps/ctrlProp292.xml><?xml version="1.0" encoding="utf-8"?>
<formControlPr xmlns="http://schemas.microsoft.com/office/spreadsheetml/2009/9/main" objectType="CheckBox" fmlaLink="$F$10" lockText="1" noThreeD="1"/>
</file>

<file path=xl/ctrlProps/ctrlProp293.xml><?xml version="1.0" encoding="utf-8"?>
<formControlPr xmlns="http://schemas.microsoft.com/office/spreadsheetml/2009/9/main" objectType="CheckBox" fmlaLink="$F$69" lockText="1" noThreeD="1"/>
</file>

<file path=xl/ctrlProps/ctrlProp294.xml><?xml version="1.0" encoding="utf-8"?>
<formControlPr xmlns="http://schemas.microsoft.com/office/spreadsheetml/2009/9/main" objectType="CheckBox" fmlaLink="$F$70" lockText="1" noThreeD="1"/>
</file>

<file path=xl/ctrlProps/ctrlProp295.xml><?xml version="1.0" encoding="utf-8"?>
<formControlPr xmlns="http://schemas.microsoft.com/office/spreadsheetml/2009/9/main" objectType="CheckBox" fmlaLink="$F$71" lockText="1" noThreeD="1"/>
</file>

<file path=xl/ctrlProps/ctrlProp296.xml><?xml version="1.0" encoding="utf-8"?>
<formControlPr xmlns="http://schemas.microsoft.com/office/spreadsheetml/2009/9/main" objectType="CheckBox" fmlaLink="$F$72" lockText="1" noThreeD="1"/>
</file>

<file path=xl/ctrlProps/ctrlProp297.xml><?xml version="1.0" encoding="utf-8"?>
<formControlPr xmlns="http://schemas.microsoft.com/office/spreadsheetml/2009/9/main" objectType="CheckBox" checked="Checked" fmlaLink="#REF!" lockText="1" noThreeD="1"/>
</file>

<file path=xl/ctrlProps/ctrlProp298.xml><?xml version="1.0" encoding="utf-8"?>
<formControlPr xmlns="http://schemas.microsoft.com/office/spreadsheetml/2009/9/main" objectType="CheckBox" fmlaLink="$F$297" lockText="1" noThreeD="1"/>
</file>

<file path=xl/ctrlProps/ctrlProp299.xml><?xml version="1.0" encoding="utf-8"?>
<formControlPr xmlns="http://schemas.microsoft.com/office/spreadsheetml/2009/9/main" objectType="CheckBox" fmlaLink="$F$298" lockText="1" noThreeD="1"/>
</file>

<file path=xl/ctrlProps/ctrlProp300.xml><?xml version="1.0" encoding="utf-8"?>
<formControlPr xmlns="http://schemas.microsoft.com/office/spreadsheetml/2009/9/main" objectType="CheckBox" fmlaLink="$F$299" lockText="1" noThreeD="1"/>
</file>

<file path=xl/ctrlProps/ctrlProp301.xml><?xml version="1.0" encoding="utf-8"?>
<formControlPr xmlns="http://schemas.microsoft.com/office/spreadsheetml/2009/9/main" objectType="CheckBox" fmlaLink="$F$300" lockText="1" noThreeD="1"/>
</file>

<file path=xl/ctrlProps/ctrlProp302.xml><?xml version="1.0" encoding="utf-8"?>
<formControlPr xmlns="http://schemas.microsoft.com/office/spreadsheetml/2009/9/main" objectType="CheckBox" fmlaLink="$F$301" lockText="1" noThreeD="1"/>
</file>

<file path=xl/ctrlProps/ctrlProp303.xml><?xml version="1.0" encoding="utf-8"?>
<formControlPr xmlns="http://schemas.microsoft.com/office/spreadsheetml/2009/9/main" objectType="CheckBox" fmlaLink="$F$302" lockText="1" noThreeD="1"/>
</file>

<file path=xl/ctrlProps/ctrlProp304.xml><?xml version="1.0" encoding="utf-8"?>
<formControlPr xmlns="http://schemas.microsoft.com/office/spreadsheetml/2009/9/main" objectType="CheckBox" fmlaLink="$F$303" lockText="1" noThreeD="1"/>
</file>

<file path=xl/ctrlProps/ctrlProp305.xml><?xml version="1.0" encoding="utf-8"?>
<formControlPr xmlns="http://schemas.microsoft.com/office/spreadsheetml/2009/9/main" objectType="CheckBox" fmlaLink="$F$304" lockText="1" noThreeD="1"/>
</file>

<file path=xl/ctrlProps/ctrlProp306.xml><?xml version="1.0" encoding="utf-8"?>
<formControlPr xmlns="http://schemas.microsoft.com/office/spreadsheetml/2009/9/main" objectType="CheckBox" fmlaLink="$F$305" lockText="1" noThreeD="1"/>
</file>

<file path=xl/ctrlProps/ctrlProp307.xml><?xml version="1.0" encoding="utf-8"?>
<formControlPr xmlns="http://schemas.microsoft.com/office/spreadsheetml/2009/9/main" objectType="CheckBox" fmlaLink="$F$306" lockText="1" noThreeD="1"/>
</file>

<file path=xl/ctrlProps/ctrlProp308.xml><?xml version="1.0" encoding="utf-8"?>
<formControlPr xmlns="http://schemas.microsoft.com/office/spreadsheetml/2009/9/main" objectType="CheckBox" fmlaLink="$F$307" lockText="1" noThreeD="1"/>
</file>

<file path=xl/ctrlProps/ctrlProp309.xml><?xml version="1.0" encoding="utf-8"?>
<formControlPr xmlns="http://schemas.microsoft.com/office/spreadsheetml/2009/9/main" objectType="CheckBox" fmlaLink="$F$308" lockText="1" noThreeD="1"/>
</file>

<file path=xl/ctrlProps/ctrlProp310.xml><?xml version="1.0" encoding="utf-8"?>
<formControlPr xmlns="http://schemas.microsoft.com/office/spreadsheetml/2009/9/main" objectType="CheckBox" fmlaLink="$F$309" lockText="1" noThreeD="1"/>
</file>

<file path=xl/ctrlProps/ctrlProp311.xml><?xml version="1.0" encoding="utf-8"?>
<formControlPr xmlns="http://schemas.microsoft.com/office/spreadsheetml/2009/9/main" objectType="CheckBox" fmlaLink="$F$310" lockText="1" noThreeD="1"/>
</file>

<file path=xl/ctrlProps/ctrlProp312.xml><?xml version="1.0" encoding="utf-8"?>
<formControlPr xmlns="http://schemas.microsoft.com/office/spreadsheetml/2009/9/main" objectType="CheckBox" checked="Checked" fmlaLink="#REF!" lockText="1" noThreeD="1"/>
</file>

<file path=xl/ctrlProps/ctrlProp313.xml><?xml version="1.0" encoding="utf-8"?>
<formControlPr xmlns="http://schemas.microsoft.com/office/spreadsheetml/2009/9/main" objectType="CheckBox" fmlaLink="$F$217" lockText="1" noThreeD="1"/>
</file>

<file path=xl/ctrlProps/ctrlProp314.xml><?xml version="1.0" encoding="utf-8"?>
<formControlPr xmlns="http://schemas.microsoft.com/office/spreadsheetml/2009/9/main" objectType="CheckBox" fmlaLink="$F$218" lockText="1" noThreeD="1"/>
</file>

<file path=xl/ctrlProps/ctrlProp315.xml><?xml version="1.0" encoding="utf-8"?>
<formControlPr xmlns="http://schemas.microsoft.com/office/spreadsheetml/2009/9/main" objectType="CheckBox" fmlaLink="$F$219" lockText="1" noThreeD="1"/>
</file>

<file path=xl/ctrlProps/ctrlProp316.xml><?xml version="1.0" encoding="utf-8"?>
<formControlPr xmlns="http://schemas.microsoft.com/office/spreadsheetml/2009/9/main" objectType="CheckBox" fmlaLink="$F$220" lockText="1" noThreeD="1"/>
</file>

<file path=xl/ctrlProps/ctrlProp317.xml><?xml version="1.0" encoding="utf-8"?>
<formControlPr xmlns="http://schemas.microsoft.com/office/spreadsheetml/2009/9/main" objectType="CheckBox" fmlaLink="$F$225" lockText="1" noThreeD="1"/>
</file>

<file path=xl/ctrlProps/ctrlProp318.xml><?xml version="1.0" encoding="utf-8"?>
<formControlPr xmlns="http://schemas.microsoft.com/office/spreadsheetml/2009/9/main" objectType="CheckBox" fmlaLink="$F$226" lockText="1" noThreeD="1"/>
</file>

<file path=xl/ctrlProps/ctrlProp319.xml><?xml version="1.0" encoding="utf-8"?>
<formControlPr xmlns="http://schemas.microsoft.com/office/spreadsheetml/2009/9/main" objectType="CheckBox" fmlaLink="$F$249" lockText="1" noThreeD="1"/>
</file>

<file path=xl/ctrlProps/ctrlProp320.xml><?xml version="1.0" encoding="utf-8"?>
<formControlPr xmlns="http://schemas.microsoft.com/office/spreadsheetml/2009/9/main" objectType="CheckBox" fmlaLink="$F$250" lockText="1" noThreeD="1"/>
</file>

<file path=xl/ctrlProps/ctrlProp321.xml><?xml version="1.0" encoding="utf-8"?>
<formControlPr xmlns="http://schemas.microsoft.com/office/spreadsheetml/2009/9/main" objectType="CheckBox" fmlaLink="$F$251" lockText="1" noThreeD="1"/>
</file>

<file path=xl/ctrlProps/ctrlProp322.xml><?xml version="1.0" encoding="utf-8"?>
<formControlPr xmlns="http://schemas.microsoft.com/office/spreadsheetml/2009/9/main" objectType="CheckBox" fmlaLink="$F$252" lockText="1" noThreeD="1"/>
</file>

<file path=xl/ctrlProps/ctrlProp323.xml><?xml version="1.0" encoding="utf-8"?>
<formControlPr xmlns="http://schemas.microsoft.com/office/spreadsheetml/2009/9/main" objectType="CheckBox" fmlaLink="$F$293" lockText="1" noThreeD="1"/>
</file>

<file path=xl/ctrlProps/ctrlProp324.xml><?xml version="1.0" encoding="utf-8"?>
<formControlPr xmlns="http://schemas.microsoft.com/office/spreadsheetml/2009/9/main" objectType="CheckBox" fmlaLink="$F$294" lockText="1" noThreeD="1"/>
</file>

<file path=xl/ctrlProps/ctrlProp325.xml><?xml version="1.0" encoding="utf-8"?>
<formControlPr xmlns="http://schemas.microsoft.com/office/spreadsheetml/2009/9/main" objectType="CheckBox" fmlaLink="$F$295" lockText="1" noThreeD="1"/>
</file>

<file path=xl/ctrlProps/ctrlProp326.xml><?xml version="1.0" encoding="utf-8"?>
<formControlPr xmlns="http://schemas.microsoft.com/office/spreadsheetml/2009/9/main" objectType="CheckBox" fmlaLink="$F$296" lockText="1" noThreeD="1"/>
</file>

<file path=xl/ctrlProps/ctrlProp327.xml><?xml version="1.0" encoding="utf-8"?>
<formControlPr xmlns="http://schemas.microsoft.com/office/spreadsheetml/2009/9/main" objectType="CheckBox" checked="Checked" fmlaLink="#REF!" lockText="1" noThreeD="1"/>
</file>

<file path=xl/ctrlProps/ctrlProp328.xml><?xml version="1.0" encoding="utf-8"?>
<formControlPr xmlns="http://schemas.microsoft.com/office/spreadsheetml/2009/9/main" objectType="CheckBox" fmlaLink="$F$171" lockText="1" noThreeD="1"/>
</file>

<file path=xl/ctrlProps/ctrlProp329.xml><?xml version="1.0" encoding="utf-8"?>
<formControlPr xmlns="http://schemas.microsoft.com/office/spreadsheetml/2009/9/main" objectType="CheckBox" fmlaLink="$F$172" lockText="1" noThreeD="1"/>
</file>

<file path=xl/ctrlProps/ctrlProp330.xml><?xml version="1.0" encoding="utf-8"?>
<formControlPr xmlns="http://schemas.microsoft.com/office/spreadsheetml/2009/9/main" objectType="CheckBox" fmlaLink="$F$213" lockText="1" noThreeD="1"/>
</file>

<file path=xl/ctrlProps/ctrlProp331.xml><?xml version="1.0" encoding="utf-8"?>
<formControlPr xmlns="http://schemas.microsoft.com/office/spreadsheetml/2009/9/main" objectType="CheckBox" fmlaLink="$F$214" lockText="1" noThreeD="1"/>
</file>

<file path=xl/ctrlProps/ctrlProp332.xml><?xml version="1.0" encoding="utf-8"?>
<formControlPr xmlns="http://schemas.microsoft.com/office/spreadsheetml/2009/9/main" objectType="CheckBox" fmlaLink="$F$215" lockText="1" noThreeD="1"/>
</file>

<file path=xl/ctrlProps/ctrlProp333.xml><?xml version="1.0" encoding="utf-8"?>
<formControlPr xmlns="http://schemas.microsoft.com/office/spreadsheetml/2009/9/main" objectType="CheckBox" fmlaLink="$F$216" lockText="1" noThreeD="1"/>
</file>

<file path=xl/ctrlProps/ctrlProp334.xml><?xml version="1.0" encoding="utf-8"?>
<formControlPr xmlns="http://schemas.microsoft.com/office/spreadsheetml/2009/9/main" objectType="CheckBox" checked="Checked" fmlaLink="#REF!" lockText="1" noThreeD="1"/>
</file>

<file path=xl/ctrlProps/ctrlProp335.xml><?xml version="1.0" encoding="utf-8"?>
<formControlPr xmlns="http://schemas.microsoft.com/office/spreadsheetml/2009/9/main" objectType="CheckBox" fmlaLink="$F$169" lockText="1" noThreeD="1"/>
</file>

<file path=xl/ctrlProps/ctrlProp336.xml><?xml version="1.0" encoding="utf-8"?>
<formControlPr xmlns="http://schemas.microsoft.com/office/spreadsheetml/2009/9/main" objectType="CheckBox" fmlaLink="$F$170" lockText="1" noThreeD="1"/>
</file>

<file path=xl/ctrlProps/ctrlProp337.xml><?xml version="1.0" encoding="utf-8"?>
<formControlPr xmlns="http://schemas.microsoft.com/office/spreadsheetml/2009/9/main" objectType="CheckBox" checked="Checked" fmlaLink="#REF!" lockText="1" noThreeD="1"/>
</file>

<file path=xl/ctrlProps/ctrlProp338.xml><?xml version="1.0" encoding="utf-8"?>
<formControlPr xmlns="http://schemas.microsoft.com/office/spreadsheetml/2009/9/main" objectType="CheckBox" fmlaLink="$F$157" lockText="1" noThreeD="1"/>
</file>

<file path=xl/ctrlProps/ctrlProp339.xml><?xml version="1.0" encoding="utf-8"?>
<formControlPr xmlns="http://schemas.microsoft.com/office/spreadsheetml/2009/9/main" objectType="CheckBox" fmlaLink="$F$158" lockText="1" noThreeD="1"/>
</file>

<file path=xl/ctrlProps/ctrlProp340.xml><?xml version="1.0" encoding="utf-8"?>
<formControlPr xmlns="http://schemas.microsoft.com/office/spreadsheetml/2009/9/main" objectType="CheckBox" fmlaLink="$F$165" lockText="1" noThreeD="1"/>
</file>

<file path=xl/ctrlProps/ctrlProp341.xml><?xml version="1.0" encoding="utf-8"?>
<formControlPr xmlns="http://schemas.microsoft.com/office/spreadsheetml/2009/9/main" objectType="CheckBox" fmlaLink="$F$166" lockText="1" noThreeD="1"/>
</file>

<file path=xl/ctrlProps/ctrlProp342.xml><?xml version="1.0" encoding="utf-8"?>
<formControlPr xmlns="http://schemas.microsoft.com/office/spreadsheetml/2009/9/main" objectType="CheckBox" fmlaLink="$F$167" lockText="1" noThreeD="1"/>
</file>

<file path=xl/ctrlProps/ctrlProp343.xml><?xml version="1.0" encoding="utf-8"?>
<formControlPr xmlns="http://schemas.microsoft.com/office/spreadsheetml/2009/9/main" objectType="CheckBox" fmlaLink="$F$168" lockText="1" noThreeD="1"/>
</file>

<file path=xl/ctrlProps/ctrlProp344.xml><?xml version="1.0" encoding="utf-8"?>
<formControlPr xmlns="http://schemas.microsoft.com/office/spreadsheetml/2009/9/main" objectType="CheckBox" fmlaLink="$F$83" lockText="1" noThreeD="1"/>
</file>

<file path=xl/ctrlProps/ctrlProp345.xml><?xml version="1.0" encoding="utf-8"?>
<formControlPr xmlns="http://schemas.microsoft.com/office/spreadsheetml/2009/9/main" objectType="CheckBox" fmlaLink="$F$84" lockText="1" noThreeD="1"/>
</file>

<file path=xl/ctrlProps/ctrlProp346.xml><?xml version="1.0" encoding="utf-8"?>
<formControlPr xmlns="http://schemas.microsoft.com/office/spreadsheetml/2009/9/main" objectType="CheckBox" fmlaLink="$F$85" lockText="1" noThreeD="1"/>
</file>

<file path=xl/ctrlProps/ctrlProp347.xml><?xml version="1.0" encoding="utf-8"?>
<formControlPr xmlns="http://schemas.microsoft.com/office/spreadsheetml/2009/9/main" objectType="CheckBox" fmlaLink="$F$86" lockText="1" noThreeD="1"/>
</file>

<file path=xl/ctrlProps/ctrlProp348.xml><?xml version="1.0" encoding="utf-8"?>
<formControlPr xmlns="http://schemas.microsoft.com/office/spreadsheetml/2009/9/main" objectType="CheckBox" fmlaLink="$F$87" lockText="1" noThreeD="1"/>
</file>

<file path=xl/ctrlProps/ctrlProp349.xml><?xml version="1.0" encoding="utf-8"?>
<formControlPr xmlns="http://schemas.microsoft.com/office/spreadsheetml/2009/9/main" objectType="CheckBox" fmlaLink="$F$88" lockText="1" noThreeD="1"/>
</file>

<file path=xl/ctrlProps/ctrlProp350.xml><?xml version="1.0" encoding="utf-8"?>
<formControlPr xmlns="http://schemas.microsoft.com/office/spreadsheetml/2009/9/main" objectType="CheckBox" fmlaLink="$F$89" lockText="1" noThreeD="1"/>
</file>

<file path=xl/ctrlProps/ctrlProp351.xml><?xml version="1.0" encoding="utf-8"?>
<formControlPr xmlns="http://schemas.microsoft.com/office/spreadsheetml/2009/9/main" objectType="CheckBox" fmlaLink="$F$90" lockText="1" noThreeD="1"/>
</file>

<file path=xl/ctrlProps/ctrlProp352.xml><?xml version="1.0" encoding="utf-8"?>
<formControlPr xmlns="http://schemas.microsoft.com/office/spreadsheetml/2009/9/main" objectType="CheckBox" checked="Checked" fmlaLink="#REF!" lockText="1" noThreeD="1"/>
</file>

<file path=xl/ctrlProps/ctrlProp353.xml><?xml version="1.0" encoding="utf-8"?>
<formControlPr xmlns="http://schemas.microsoft.com/office/spreadsheetml/2009/9/main" objectType="CheckBox" fmlaLink="$F$313" lockText="1" noThreeD="1"/>
</file>

<file path=xl/ctrlProps/ctrlProp354.xml><?xml version="1.0" encoding="utf-8"?>
<formControlPr xmlns="http://schemas.microsoft.com/office/spreadsheetml/2009/9/main" objectType="CheckBox" fmlaLink="$F$314" lockText="1" noThreeD="1"/>
</file>

<file path=xl/ctrlProps/ctrlProp355.xml><?xml version="1.0" encoding="utf-8"?>
<formControlPr xmlns="http://schemas.microsoft.com/office/spreadsheetml/2009/9/main" objectType="CheckBox" fmlaLink="$F$315" lockText="1" noThreeD="1"/>
</file>

<file path=xl/ctrlProps/ctrlProp356.xml><?xml version="1.0" encoding="utf-8"?>
<formControlPr xmlns="http://schemas.microsoft.com/office/spreadsheetml/2009/9/main" objectType="CheckBox" fmlaLink="$F$316" lockText="1" noThreeD="1"/>
</file>

<file path=xl/ctrlProps/ctrlProp357.xml><?xml version="1.0" encoding="utf-8"?>
<formControlPr xmlns="http://schemas.microsoft.com/office/spreadsheetml/2009/9/main" objectType="CheckBox" fmlaLink="$F$317" lockText="1" noThreeD="1"/>
</file>

<file path=xl/ctrlProps/ctrlProp358.xml><?xml version="1.0" encoding="utf-8"?>
<formControlPr xmlns="http://schemas.microsoft.com/office/spreadsheetml/2009/9/main" objectType="CheckBox" fmlaLink="$F$318" lockText="1" noThreeD="1"/>
</file>

<file path=xl/ctrlProps/ctrlProp359.xml><?xml version="1.0" encoding="utf-8"?>
<formControlPr xmlns="http://schemas.microsoft.com/office/spreadsheetml/2009/9/main" objectType="CheckBox" fmlaLink="$F$11" lockText="1" noThreeD="1"/>
</file>

<file path=xl/ctrlProps/ctrlProp360.xml><?xml version="1.0" encoding="utf-8"?>
<formControlPr xmlns="http://schemas.microsoft.com/office/spreadsheetml/2009/9/main" objectType="CheckBox" fmlaLink="$F$132" lockText="1" noThreeD="1"/>
</file>

<file path=xl/ctrlProps/ctrlProp361.xml><?xml version="1.0" encoding="utf-8"?>
<formControlPr xmlns="http://schemas.microsoft.com/office/spreadsheetml/2009/9/main" objectType="CheckBox" fmlaLink="$F$111" lockText="1" noThreeD="1"/>
</file>

<file path=xl/ctrlProps/ctrlProp362.xml><?xml version="1.0" encoding="utf-8"?>
<formControlPr xmlns="http://schemas.microsoft.com/office/spreadsheetml/2009/9/main" objectType="CheckBox" fmlaLink="$F$112" lockText="1" noThreeD="1"/>
</file>

<file path=xl/ctrlProps/ctrlProp363.xml><?xml version="1.0" encoding="utf-8"?>
<formControlPr xmlns="http://schemas.microsoft.com/office/spreadsheetml/2009/9/main" objectType="CheckBox" fmlaLink="$F$95" lockText="1" noThreeD="1"/>
</file>

<file path=xl/ctrlProps/ctrlProp364.xml><?xml version="1.0" encoding="utf-8"?>
<formControlPr xmlns="http://schemas.microsoft.com/office/spreadsheetml/2009/9/main" objectType="CheckBox" fmlaLink="$F$96" lockText="1" noThreeD="1"/>
</file>

<file path=xl/ctrlProps/ctrlProp365.xml><?xml version="1.0" encoding="utf-8"?>
<formControlPr xmlns="http://schemas.microsoft.com/office/spreadsheetml/2009/9/main" objectType="CheckBox" fmlaLink="$F$173" lockText="1" noThreeD="1"/>
</file>

<file path=xl/ctrlProps/ctrlProp366.xml><?xml version="1.0" encoding="utf-8"?>
<formControlPr xmlns="http://schemas.microsoft.com/office/spreadsheetml/2009/9/main" objectType="CheckBox" fmlaLink="$F$174" lockText="1" noThreeD="1"/>
</file>

<file path=xl/ctrlProps/ctrlProp367.xml><?xml version="1.0" encoding="utf-8"?>
<formControlPr xmlns="http://schemas.microsoft.com/office/spreadsheetml/2009/9/main" objectType="CheckBox" fmlaLink="$F$7" lockText="1" noThreeD="1"/>
</file>

<file path=xl/ctrlProps/ctrlProp368.xml><?xml version="1.0" encoding="utf-8"?>
<formControlPr xmlns="http://schemas.microsoft.com/office/spreadsheetml/2009/9/main" objectType="CheckBox" fmlaLink="$F$7" lockText="1" noThreeD="1"/>
</file>

<file path=xl/ctrlProps/ctrlProp369.xml><?xml version="1.0" encoding="utf-8"?>
<formControlPr xmlns="http://schemas.microsoft.com/office/spreadsheetml/2009/9/main" objectType="CheckBox" fmlaLink="$F$7" lockText="1" noThreeD="1"/>
</file>

<file path=xl/ctrlProps/ctrlProp370.xml><?xml version="1.0" encoding="utf-8"?>
<formControlPr xmlns="http://schemas.microsoft.com/office/spreadsheetml/2009/9/main" objectType="CheckBox" fmlaLink="$F$7" lockText="1" noThreeD="1"/>
</file>

<file path=xl/ctrlProps/ctrlProp371.xml><?xml version="1.0" encoding="utf-8"?>
<formControlPr xmlns="http://schemas.microsoft.com/office/spreadsheetml/2009/9/main" objectType="CheckBox" fmlaLink="$F$7" lockText="1" noThreeD="1"/>
</file>

<file path=xl/ctrlProps/ctrlProp372.xml><?xml version="1.0" encoding="utf-8"?>
<formControlPr xmlns="http://schemas.microsoft.com/office/spreadsheetml/2009/9/main" objectType="CheckBox" fmlaLink="$F$7" lockText="1" noThreeD="1"/>
</file>

<file path=xl/ctrlProps/ctrlProp373.xml><?xml version="1.0" encoding="utf-8"?>
<formControlPr xmlns="http://schemas.microsoft.com/office/spreadsheetml/2009/9/main" objectType="CheckBox" fmlaLink="$F$7" lockText="1" noThreeD="1"/>
</file>

<file path=xl/ctrlProps/ctrlProp374.xml><?xml version="1.0" encoding="utf-8"?>
<formControlPr xmlns="http://schemas.microsoft.com/office/spreadsheetml/2009/9/main" objectType="CheckBox" fmlaLink="$F$7" lockText="1" noThreeD="1"/>
</file>

<file path=xl/ctrlProps/ctrlProp375.xml><?xml version="1.0" encoding="utf-8"?>
<formControlPr xmlns="http://schemas.microsoft.com/office/spreadsheetml/2009/9/main" objectType="CheckBox" fmlaLink="$F$7" lockText="1" noThreeD="1"/>
</file>

<file path=xl/ctrlProps/ctrlProp376.xml><?xml version="1.0" encoding="utf-8"?>
<formControlPr xmlns="http://schemas.microsoft.com/office/spreadsheetml/2009/9/main" objectType="CheckBox" fmlaLink="$F$7" lockText="1" noThreeD="1"/>
</file>

<file path=xl/ctrlProps/ctrlProp377.xml><?xml version="1.0" encoding="utf-8"?>
<formControlPr xmlns="http://schemas.microsoft.com/office/spreadsheetml/2009/9/main" objectType="CheckBox" fmlaLink="$F$7" lockText="1" noThreeD="1"/>
</file>

<file path=xl/ctrlProps/ctrlProp378.xml><?xml version="1.0" encoding="utf-8"?>
<formControlPr xmlns="http://schemas.microsoft.com/office/spreadsheetml/2009/9/main" objectType="CheckBox" fmlaLink="$F$7" lockText="1" noThreeD="1"/>
</file>

<file path=xl/ctrlProps/ctrlProp379.xml><?xml version="1.0" encoding="utf-8"?>
<formControlPr xmlns="http://schemas.microsoft.com/office/spreadsheetml/2009/9/main" objectType="CheckBox" fmlaLink="$F$7" lockText="1" noThreeD="1"/>
</file>

<file path=xl/ctrlProps/ctrlProp380.xml><?xml version="1.0" encoding="utf-8"?>
<formControlPr xmlns="http://schemas.microsoft.com/office/spreadsheetml/2009/9/main" objectType="CheckBox" fmlaLink="$F$7" lockText="1" noThreeD="1"/>
</file>

<file path=xl/ctrlProps/ctrlProp381.xml><?xml version="1.0" encoding="utf-8"?>
<formControlPr xmlns="http://schemas.microsoft.com/office/spreadsheetml/2009/9/main" objectType="CheckBox" fmlaLink="$F$8" lockText="1" noThreeD="1"/>
</file>

<file path=xl/ctrlProps/ctrlProp382.xml><?xml version="1.0" encoding="utf-8"?>
<formControlPr xmlns="http://schemas.microsoft.com/office/spreadsheetml/2009/9/main" objectType="CheckBox" fmlaLink="$F$9" lockText="1" noThreeD="1"/>
</file>

<file path=xl/ctrlProps/ctrlProp383.xml><?xml version="1.0" encoding="utf-8"?>
<formControlPr xmlns="http://schemas.microsoft.com/office/spreadsheetml/2009/9/main" objectType="CheckBox" fmlaLink="$F$10" lockText="1" noThreeD="1"/>
</file>

<file path=xl/ctrlProps/ctrlProp384.xml><?xml version="1.0" encoding="utf-8"?>
<formControlPr xmlns="http://schemas.microsoft.com/office/spreadsheetml/2009/9/main" objectType="CheckBox" fmlaLink="$F$11" lockText="1" noThreeD="1"/>
</file>

<file path=xl/ctrlProps/ctrlProp385.xml><?xml version="1.0" encoding="utf-8"?>
<formControlPr xmlns="http://schemas.microsoft.com/office/spreadsheetml/2009/9/main" objectType="CheckBox" fmlaLink="$F$12" lockText="1" noThreeD="1"/>
</file>

<file path=xl/ctrlProps/ctrlProp386.xml><?xml version="1.0" encoding="utf-8"?>
<formControlPr xmlns="http://schemas.microsoft.com/office/spreadsheetml/2009/9/main" objectType="CheckBox" fmlaLink="$F$19" lockText="1" noThreeD="1"/>
</file>

<file path=xl/ctrlProps/ctrlProp387.xml><?xml version="1.0" encoding="utf-8"?>
<formControlPr xmlns="http://schemas.microsoft.com/office/spreadsheetml/2009/9/main" objectType="CheckBox" fmlaLink="$F$20" lockText="1" noThreeD="1"/>
</file>

<file path=xl/ctrlProps/ctrlProp388.xml><?xml version="1.0" encoding="utf-8"?>
<formControlPr xmlns="http://schemas.microsoft.com/office/spreadsheetml/2009/9/main" objectType="CheckBox" fmlaLink="$F$21" lockText="1" noThreeD="1"/>
</file>

<file path=xl/ctrlProps/ctrlProp389.xml><?xml version="1.0" encoding="utf-8"?>
<formControlPr xmlns="http://schemas.microsoft.com/office/spreadsheetml/2009/9/main" objectType="CheckBox" fmlaLink="$F$22" lockText="1" noThreeD="1"/>
</file>

<file path=xl/ctrlProps/ctrlProp390.xml><?xml version="1.0" encoding="utf-8"?>
<formControlPr xmlns="http://schemas.microsoft.com/office/spreadsheetml/2009/9/main" objectType="CheckBox" fmlaLink="$F$23" lockText="1" noThreeD="1"/>
</file>

<file path=xl/ctrlProps/ctrlProp391.xml><?xml version="1.0" encoding="utf-8"?>
<formControlPr xmlns="http://schemas.microsoft.com/office/spreadsheetml/2009/9/main" objectType="CheckBox" fmlaLink="$F$24" lockText="1" noThreeD="1"/>
</file>

<file path=xl/ctrlProps/ctrlProp392.xml><?xml version="1.0" encoding="utf-8"?>
<formControlPr xmlns="http://schemas.microsoft.com/office/spreadsheetml/2009/9/main" objectType="CheckBox" fmlaLink="$F$25" lockText="1" noThreeD="1"/>
</file>

<file path=xl/ctrlProps/ctrlProp393.xml><?xml version="1.0" encoding="utf-8"?>
<formControlPr xmlns="http://schemas.microsoft.com/office/spreadsheetml/2009/9/main" objectType="CheckBox" fmlaLink="$F$26" lockText="1" noThreeD="1"/>
</file>

<file path=xl/ctrlProps/ctrlProp394.xml><?xml version="1.0" encoding="utf-8"?>
<formControlPr xmlns="http://schemas.microsoft.com/office/spreadsheetml/2009/9/main" objectType="CheckBox" fmlaLink="$F$27" lockText="1" noThreeD="1"/>
</file>

<file path=xl/ctrlProps/ctrlProp395.xml><?xml version="1.0" encoding="utf-8"?>
<formControlPr xmlns="http://schemas.microsoft.com/office/spreadsheetml/2009/9/main" objectType="CheckBox" fmlaLink="$F$51" lockText="1" noThreeD="1"/>
</file>

<file path=xl/ctrlProps/ctrlProp396.xml><?xml version="1.0" encoding="utf-8"?>
<formControlPr xmlns="http://schemas.microsoft.com/office/spreadsheetml/2009/9/main" objectType="CheckBox" fmlaLink="$F$52" lockText="1" noThreeD="1"/>
</file>

<file path=xl/ctrlProps/ctrlProp397.xml><?xml version="1.0" encoding="utf-8"?>
<formControlPr xmlns="http://schemas.microsoft.com/office/spreadsheetml/2009/9/main" objectType="CheckBox" fmlaLink="$F$53" lockText="1" noThreeD="1"/>
</file>

<file path=xl/ctrlProps/ctrlProp398.xml><?xml version="1.0" encoding="utf-8"?>
<formControlPr xmlns="http://schemas.microsoft.com/office/spreadsheetml/2009/9/main" objectType="CheckBox" fmlaLink="$F$54" lockText="1" noThreeD="1"/>
</file>

<file path=xl/ctrlProps/ctrlProp399.xml><?xml version="1.0" encoding="utf-8"?>
<formControlPr xmlns="http://schemas.microsoft.com/office/spreadsheetml/2009/9/main" objectType="CheckBox" fmlaLink="$F$55" lockText="1" noThreeD="1"/>
</file>

<file path=xl/ctrlProps/ctrlProp400.xml><?xml version="1.0" encoding="utf-8"?>
<formControlPr xmlns="http://schemas.microsoft.com/office/spreadsheetml/2009/9/main" objectType="CheckBox" fmlaLink="$F$56" lockText="1" noThreeD="1"/>
</file>

<file path=xl/ctrlProps/ctrlProp401.xml><?xml version="1.0" encoding="utf-8"?>
<formControlPr xmlns="http://schemas.microsoft.com/office/spreadsheetml/2009/9/main" objectType="CheckBox" fmlaLink="$F$285" lockText="1" noThreeD="1"/>
</file>

<file path=xl/ctrlProps/ctrlProp402.xml><?xml version="1.0" encoding="utf-8"?>
<formControlPr xmlns="http://schemas.microsoft.com/office/spreadsheetml/2009/9/main" objectType="CheckBox" fmlaLink="$F$286" lockText="1" noThreeD="1"/>
</file>

<file path=xl/ctrlProps/ctrlProp403.xml><?xml version="1.0" encoding="utf-8"?>
<formControlPr xmlns="http://schemas.microsoft.com/office/spreadsheetml/2009/9/main" objectType="CheckBox" fmlaLink="$F$287" lockText="1" noThreeD="1"/>
</file>

<file path=xl/ctrlProps/ctrlProp404.xml><?xml version="1.0" encoding="utf-8"?>
<formControlPr xmlns="http://schemas.microsoft.com/office/spreadsheetml/2009/9/main" objectType="CheckBox" fmlaLink="$F$288" lockText="1" noThreeD="1"/>
</file>

<file path=xl/ctrlProps/ctrlProp405.xml><?xml version="1.0" encoding="utf-8"?>
<formControlPr xmlns="http://schemas.microsoft.com/office/spreadsheetml/2009/9/main" objectType="CheckBox" fmlaLink="$F$289" lockText="1" noThreeD="1"/>
</file>

<file path=xl/ctrlProps/ctrlProp406.xml><?xml version="1.0" encoding="utf-8"?>
<formControlPr xmlns="http://schemas.microsoft.com/office/spreadsheetml/2009/9/main" objectType="CheckBox" fmlaLink="$F$290" lockText="1" noThreeD="1"/>
</file>

<file path=xl/ctrlProps/ctrlProp407.xml><?xml version="1.0" encoding="utf-8"?>
<formControlPr xmlns="http://schemas.microsoft.com/office/spreadsheetml/2009/9/main" objectType="CheckBox" fmlaLink="$F$291" lockText="1" noThreeD="1"/>
</file>

<file path=xl/ctrlProps/ctrlProp408.xml><?xml version="1.0" encoding="utf-8"?>
<formControlPr xmlns="http://schemas.microsoft.com/office/spreadsheetml/2009/9/main" objectType="CheckBox" fmlaLink="$F$292" lockText="1" noThreeD="1"/>
</file>

<file path=xl/ctrlProps/ctrlProp409.xml><?xml version="1.0" encoding="utf-8"?>
<formControlPr xmlns="http://schemas.microsoft.com/office/spreadsheetml/2009/9/main" objectType="CheckBox" fmlaLink="$F$19" lockText="1" noThreeD="1"/>
</file>

<file path=xl/ctrlProps/ctrlProp410.xml><?xml version="1.0" encoding="utf-8"?>
<formControlPr xmlns="http://schemas.microsoft.com/office/spreadsheetml/2009/9/main" objectType="CheckBox" fmlaLink="$F$20" lockText="1" noThreeD="1"/>
</file>

<file path=xl/ctrlProps/ctrlProp411.xml><?xml version="1.0" encoding="utf-8"?>
<formControlPr xmlns="http://schemas.microsoft.com/office/spreadsheetml/2009/9/main" objectType="CheckBox" fmlaLink="$F$21" lockText="1" noThreeD="1"/>
</file>

<file path=xl/ctrlProps/ctrlProp412.xml><?xml version="1.0" encoding="utf-8"?>
<formControlPr xmlns="http://schemas.microsoft.com/office/spreadsheetml/2009/9/main" objectType="CheckBox" fmlaLink="$F$22" lockText="1" noThreeD="1"/>
</file>

<file path=xl/ctrlProps/ctrlProp413.xml><?xml version="1.0" encoding="utf-8"?>
<formControlPr xmlns="http://schemas.microsoft.com/office/spreadsheetml/2009/9/main" objectType="CheckBox" fmlaLink="$F$23" lockText="1" noThreeD="1"/>
</file>

<file path=xl/ctrlProps/ctrlProp414.xml><?xml version="1.0" encoding="utf-8"?>
<formControlPr xmlns="http://schemas.microsoft.com/office/spreadsheetml/2009/9/main" objectType="CheckBox" fmlaLink="$F$24" lockText="1" noThreeD="1"/>
</file>

<file path=xl/ctrlProps/ctrlProp415.xml><?xml version="1.0" encoding="utf-8"?>
<formControlPr xmlns="http://schemas.microsoft.com/office/spreadsheetml/2009/9/main" objectType="CheckBox" fmlaLink="$F$7" lockText="1" noThreeD="1"/>
</file>

<file path=xl/ctrlProps/ctrlProp416.xml><?xml version="1.0" encoding="utf-8"?>
<formControlPr xmlns="http://schemas.microsoft.com/office/spreadsheetml/2009/9/main" objectType="CheckBox" fmlaLink="$F$7" lockText="1" noThreeD="1"/>
</file>

<file path=xl/ctrlProps/ctrlProp417.xml><?xml version="1.0" encoding="utf-8"?>
<formControlPr xmlns="http://schemas.microsoft.com/office/spreadsheetml/2009/9/main" objectType="CheckBox" fmlaLink="$F$7" lockText="1" noThreeD="1"/>
</file>

<file path=xl/ctrlProps/ctrlProp418.xml><?xml version="1.0" encoding="utf-8"?>
<formControlPr xmlns="http://schemas.microsoft.com/office/spreadsheetml/2009/9/main" objectType="CheckBox" fmlaLink="$F$7" lockText="1" noThreeD="1"/>
</file>

<file path=xl/ctrlProps/ctrlProp419.xml><?xml version="1.0" encoding="utf-8"?>
<formControlPr xmlns="http://schemas.microsoft.com/office/spreadsheetml/2009/9/main" objectType="CheckBox" fmlaLink="$F$7" lockText="1" noThreeD="1"/>
</file>

<file path=xl/ctrlProps/ctrlProp420.xml><?xml version="1.0" encoding="utf-8"?>
<formControlPr xmlns="http://schemas.microsoft.com/office/spreadsheetml/2009/9/main" objectType="CheckBox" fmlaLink="$F$7" lockText="1" noThreeD="1"/>
</file>

<file path=xl/ctrlProps/ctrlProp421.xml><?xml version="1.0" encoding="utf-8"?>
<formControlPr xmlns="http://schemas.microsoft.com/office/spreadsheetml/2009/9/main" objectType="CheckBox" fmlaLink="$F$13" lockText="1" noThreeD="1"/>
</file>

<file path=xl/ctrlProps/ctrlProp422.xml><?xml version="1.0" encoding="utf-8"?>
<formControlPr xmlns="http://schemas.microsoft.com/office/spreadsheetml/2009/9/main" objectType="CheckBox" fmlaLink="$F$14" lockText="1" noThreeD="1"/>
</file>

<file path=xl/ctrlProps/ctrlProp423.xml><?xml version="1.0" encoding="utf-8"?>
<formControlPr xmlns="http://schemas.microsoft.com/office/spreadsheetml/2009/9/main" objectType="CheckBox" fmlaLink="$F$15" lockText="1" noThreeD="1"/>
</file>

<file path=xl/ctrlProps/ctrlProp424.xml><?xml version="1.0" encoding="utf-8"?>
<formControlPr xmlns="http://schemas.microsoft.com/office/spreadsheetml/2009/9/main" objectType="CheckBox" fmlaLink="$F$16" lockText="1" noThreeD="1"/>
</file>

<file path=xl/ctrlProps/ctrlProp425.xml><?xml version="1.0" encoding="utf-8"?>
<formControlPr xmlns="http://schemas.microsoft.com/office/spreadsheetml/2009/9/main" objectType="CheckBox" fmlaLink="$F$17" lockText="1" noThreeD="1"/>
</file>

<file path=xl/ctrlProps/ctrlProp426.xml><?xml version="1.0" encoding="utf-8"?>
<formControlPr xmlns="http://schemas.microsoft.com/office/spreadsheetml/2009/9/main" objectType="CheckBox" fmlaLink="$F$18" lockText="1" noThreeD="1"/>
</file>

<file path=xl/ctrlProps/ctrlProp427.xml><?xml version="1.0" encoding="utf-8"?>
<formControlPr xmlns="http://schemas.microsoft.com/office/spreadsheetml/2009/9/main" objectType="CheckBox" fmlaLink="$F$159" lockText="1" noThreeD="1"/>
</file>

<file path=xl/ctrlProps/ctrlProp428.xml><?xml version="1.0" encoding="utf-8"?>
<formControlPr xmlns="http://schemas.microsoft.com/office/spreadsheetml/2009/9/main" objectType="CheckBox" fmlaLink="$F$160" lockText="1" noThreeD="1"/>
</file>

<file path=xl/ctrlProps/ctrlProp429.xml><?xml version="1.0" encoding="utf-8"?>
<formControlPr xmlns="http://schemas.microsoft.com/office/spreadsheetml/2009/9/main" objectType="CheckBox" fmlaLink="$F$161" lockText="1" noThreeD="1"/>
</file>

<file path=xl/ctrlProps/ctrlProp430.xml><?xml version="1.0" encoding="utf-8"?>
<formControlPr xmlns="http://schemas.microsoft.com/office/spreadsheetml/2009/9/main" objectType="CheckBox" fmlaLink="$F$162" lockText="1" noThreeD="1"/>
</file>

<file path=xl/ctrlProps/ctrlProp431.xml><?xml version="1.0" encoding="utf-8"?>
<formControlPr xmlns="http://schemas.microsoft.com/office/spreadsheetml/2009/9/main" objectType="CheckBox" fmlaLink="$F$163" lockText="1" noThreeD="1"/>
</file>

<file path=xl/ctrlProps/ctrlProp432.xml><?xml version="1.0" encoding="utf-8"?>
<formControlPr xmlns="http://schemas.microsoft.com/office/spreadsheetml/2009/9/main" objectType="CheckBox" fmlaLink="$F$164" lockText="1" noThreeD="1"/>
</file>

<file path=xl/ctrlProps/ctrlProp433.xml><?xml version="1.0" encoding="utf-8"?>
<formControlPr xmlns="http://schemas.microsoft.com/office/spreadsheetml/2009/9/main" objectType="CheckBox" fmlaLink="$F$207" lockText="1" noThreeD="1"/>
</file>

<file path=xl/ctrlProps/ctrlProp434.xml><?xml version="1.0" encoding="utf-8"?>
<formControlPr xmlns="http://schemas.microsoft.com/office/spreadsheetml/2009/9/main" objectType="CheckBox" fmlaLink="$F$208" lockText="1" noThreeD="1"/>
</file>

<file path=xl/ctrlProps/ctrlProp435.xml><?xml version="1.0" encoding="utf-8"?>
<formControlPr xmlns="http://schemas.microsoft.com/office/spreadsheetml/2009/9/main" objectType="CheckBox" fmlaLink="$F$227" lockText="1" noThreeD="1"/>
</file>

<file path=xl/ctrlProps/ctrlProp436.xml><?xml version="1.0" encoding="utf-8"?>
<formControlPr xmlns="http://schemas.microsoft.com/office/spreadsheetml/2009/9/main" objectType="CheckBox" fmlaLink="$F$228" lockText="1" noThreeD="1"/>
</file>

<file path=xl/ctrlProps/ctrlProp437.xml><?xml version="1.0" encoding="utf-8"?>
<formControlPr xmlns="http://schemas.microsoft.com/office/spreadsheetml/2009/9/main" objectType="CheckBox" fmlaLink="$F$241" lockText="1" noThreeD="1"/>
</file>

<file path=xl/ctrlProps/ctrlProp438.xml><?xml version="1.0" encoding="utf-8"?>
<formControlPr xmlns="http://schemas.microsoft.com/office/spreadsheetml/2009/9/main" objectType="CheckBox" fmlaLink="$F$242" lockText="1" noThreeD="1"/>
</file>

<file path=xl/ctrlProps/ctrlProp439.xml><?xml version="1.0" encoding="utf-8"?>
<formControlPr xmlns="http://schemas.microsoft.com/office/spreadsheetml/2009/9/main" objectType="CheckBox" fmlaLink="$F$243" lockText="1" noThreeD="1"/>
</file>

<file path=xl/ctrlProps/ctrlProp440.xml><?xml version="1.0" encoding="utf-8"?>
<formControlPr xmlns="http://schemas.microsoft.com/office/spreadsheetml/2009/9/main" objectType="CheckBox" fmlaLink="$F$244" lockText="1" noThreeD="1"/>
</file>

<file path=xl/ctrlProps/ctrlProp441.xml><?xml version="1.0" encoding="utf-8"?>
<formControlPr xmlns="http://schemas.microsoft.com/office/spreadsheetml/2009/9/main" objectType="CheckBox" fmlaLink="$F$245" lockText="1" noThreeD="1"/>
</file>

<file path=xl/ctrlProps/ctrlProp442.xml><?xml version="1.0" encoding="utf-8"?>
<formControlPr xmlns="http://schemas.microsoft.com/office/spreadsheetml/2009/9/main" objectType="CheckBox" fmlaLink="$F$246" lockText="1" noThreeD="1"/>
</file>

<file path=xl/ctrlProps/ctrlProp443.xml><?xml version="1.0" encoding="utf-8"?>
<formControlPr xmlns="http://schemas.microsoft.com/office/spreadsheetml/2009/9/main" objectType="CheckBox" fmlaLink="$F$247" lockText="1" noThreeD="1"/>
</file>

<file path=xl/ctrlProps/ctrlProp444.xml><?xml version="1.0" encoding="utf-8"?>
<formControlPr xmlns="http://schemas.microsoft.com/office/spreadsheetml/2009/9/main" objectType="CheckBox" fmlaLink="$F$248" lockText="1" noThreeD="1"/>
</file>

<file path=xl/ctrlProps/ctrlProp445.xml><?xml version="1.0" encoding="utf-8"?>
<formControlPr xmlns="http://schemas.microsoft.com/office/spreadsheetml/2009/9/main" objectType="CheckBox" fmlaLink="$F$209" lockText="1" noThreeD="1"/>
</file>

<file path=xl/ctrlProps/ctrlProp446.xml><?xml version="1.0" encoding="utf-8"?>
<formControlPr xmlns="http://schemas.microsoft.com/office/spreadsheetml/2009/9/main" objectType="CheckBox" fmlaLink="$F$210" lockText="1" noThreeD="1"/>
</file>

<file path=xl/ctrlProps/ctrlProp447.xml><?xml version="1.0" encoding="utf-8"?>
<formControlPr xmlns="http://schemas.microsoft.com/office/spreadsheetml/2009/9/main" objectType="CheckBox" fmlaLink="$F$221" lockText="1" noThreeD="1"/>
</file>

<file path=xl/ctrlProps/ctrlProp448.xml><?xml version="1.0" encoding="utf-8"?>
<formControlPr xmlns="http://schemas.microsoft.com/office/spreadsheetml/2009/9/main" objectType="CheckBox" fmlaLink="$F$222" lockText="1" noThreeD="1"/>
</file>

<file path=xl/ctrlProps/ctrlProp449.xml><?xml version="1.0" encoding="utf-8"?>
<formControlPr xmlns="http://schemas.microsoft.com/office/spreadsheetml/2009/9/main" objectType="CheckBox" fmlaLink="$F$229" lockText="1" noThreeD="1"/>
</file>

<file path=xl/ctrlProps/ctrlProp450.xml><?xml version="1.0" encoding="utf-8"?>
<formControlPr xmlns="http://schemas.microsoft.com/office/spreadsheetml/2009/9/main" objectType="CheckBox" fmlaLink="$F$230" lockText="1" noThreeD="1"/>
</file>

<file path=xl/ctrlProps/ctrlProp451.xml><?xml version="1.0" encoding="utf-8"?>
<formControlPr xmlns="http://schemas.microsoft.com/office/spreadsheetml/2009/9/main" objectType="CheckBox" fmlaLink="$F$211" lockText="1" noThreeD="1"/>
</file>

<file path=xl/ctrlProps/ctrlProp452.xml><?xml version="1.0" encoding="utf-8"?>
<formControlPr xmlns="http://schemas.microsoft.com/office/spreadsheetml/2009/9/main" objectType="CheckBox" fmlaLink="$F$212" lockText="1" noThreeD="1"/>
</file>

<file path=xl/ctrlProps/ctrlProp453.xml><?xml version="1.0" encoding="utf-8"?>
<formControlPr xmlns="http://schemas.microsoft.com/office/spreadsheetml/2009/9/main" objectType="CheckBox" fmlaLink="$F$223" lockText="1" noThreeD="1"/>
</file>

<file path=xl/ctrlProps/ctrlProp454.xml><?xml version="1.0" encoding="utf-8"?>
<formControlPr xmlns="http://schemas.microsoft.com/office/spreadsheetml/2009/9/main" objectType="CheckBox" fmlaLink="$F$224" lockText="1" noThreeD="1"/>
</file>

<file path=xl/ctrlProps/ctrlProp455.xml><?xml version="1.0" encoding="utf-8"?>
<formControlPr xmlns="http://schemas.microsoft.com/office/spreadsheetml/2009/9/main" objectType="CheckBox" fmlaLink="$F$231" lockText="1" noThreeD="1"/>
</file>

<file path=xl/ctrlProps/ctrlProp456.xml><?xml version="1.0" encoding="utf-8"?>
<formControlPr xmlns="http://schemas.microsoft.com/office/spreadsheetml/2009/9/main" objectType="CheckBox" checked="Checked" fmlaLink="$F$232" lockText="1" noThreeD="1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8</xdr:row>
          <xdr:rowOff>9525</xdr:rowOff>
        </xdr:from>
        <xdr:to>
          <xdr:col>4</xdr:col>
          <xdr:colOff>228600</xdr:colOff>
          <xdr:row>8</xdr:row>
          <xdr:rowOff>152400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9</xdr:row>
          <xdr:rowOff>0</xdr:rowOff>
        </xdr:from>
        <xdr:to>
          <xdr:col>4</xdr:col>
          <xdr:colOff>228600</xdr:colOff>
          <xdr:row>9</xdr:row>
          <xdr:rowOff>142875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10</xdr:row>
          <xdr:rowOff>0</xdr:rowOff>
        </xdr:from>
        <xdr:to>
          <xdr:col>4</xdr:col>
          <xdr:colOff>228600</xdr:colOff>
          <xdr:row>10</xdr:row>
          <xdr:rowOff>142875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11</xdr:row>
          <xdr:rowOff>0</xdr:rowOff>
        </xdr:from>
        <xdr:to>
          <xdr:col>4</xdr:col>
          <xdr:colOff>228600</xdr:colOff>
          <xdr:row>11</xdr:row>
          <xdr:rowOff>142875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12</xdr:row>
          <xdr:rowOff>0</xdr:rowOff>
        </xdr:from>
        <xdr:to>
          <xdr:col>4</xdr:col>
          <xdr:colOff>228600</xdr:colOff>
          <xdr:row>12</xdr:row>
          <xdr:rowOff>142875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13</xdr:row>
          <xdr:rowOff>0</xdr:rowOff>
        </xdr:from>
        <xdr:to>
          <xdr:col>4</xdr:col>
          <xdr:colOff>228600</xdr:colOff>
          <xdr:row>13</xdr:row>
          <xdr:rowOff>142875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14</xdr:row>
          <xdr:rowOff>0</xdr:rowOff>
        </xdr:from>
        <xdr:to>
          <xdr:col>4</xdr:col>
          <xdr:colOff>228600</xdr:colOff>
          <xdr:row>14</xdr:row>
          <xdr:rowOff>142875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15</xdr:row>
          <xdr:rowOff>0</xdr:rowOff>
        </xdr:from>
        <xdr:to>
          <xdr:col>4</xdr:col>
          <xdr:colOff>228600</xdr:colOff>
          <xdr:row>15</xdr:row>
          <xdr:rowOff>142875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16</xdr:row>
          <xdr:rowOff>0</xdr:rowOff>
        </xdr:from>
        <xdr:to>
          <xdr:col>4</xdr:col>
          <xdr:colOff>228600</xdr:colOff>
          <xdr:row>16</xdr:row>
          <xdr:rowOff>142875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17</xdr:row>
          <xdr:rowOff>0</xdr:rowOff>
        </xdr:from>
        <xdr:to>
          <xdr:col>4</xdr:col>
          <xdr:colOff>228600</xdr:colOff>
          <xdr:row>17</xdr:row>
          <xdr:rowOff>142875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18</xdr:row>
          <xdr:rowOff>0</xdr:rowOff>
        </xdr:from>
        <xdr:to>
          <xdr:col>4</xdr:col>
          <xdr:colOff>228600</xdr:colOff>
          <xdr:row>18</xdr:row>
          <xdr:rowOff>142875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19</xdr:row>
          <xdr:rowOff>0</xdr:rowOff>
        </xdr:from>
        <xdr:to>
          <xdr:col>4</xdr:col>
          <xdr:colOff>228600</xdr:colOff>
          <xdr:row>19</xdr:row>
          <xdr:rowOff>142875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20</xdr:row>
          <xdr:rowOff>0</xdr:rowOff>
        </xdr:from>
        <xdr:to>
          <xdr:col>4</xdr:col>
          <xdr:colOff>228600</xdr:colOff>
          <xdr:row>20</xdr:row>
          <xdr:rowOff>142875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21</xdr:row>
          <xdr:rowOff>0</xdr:rowOff>
        </xdr:from>
        <xdr:to>
          <xdr:col>4</xdr:col>
          <xdr:colOff>228600</xdr:colOff>
          <xdr:row>21</xdr:row>
          <xdr:rowOff>142875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22</xdr:row>
          <xdr:rowOff>0</xdr:rowOff>
        </xdr:from>
        <xdr:to>
          <xdr:col>4</xdr:col>
          <xdr:colOff>228600</xdr:colOff>
          <xdr:row>22</xdr:row>
          <xdr:rowOff>142875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23</xdr:row>
          <xdr:rowOff>0</xdr:rowOff>
        </xdr:from>
        <xdr:to>
          <xdr:col>4</xdr:col>
          <xdr:colOff>228600</xdr:colOff>
          <xdr:row>23</xdr:row>
          <xdr:rowOff>142875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24</xdr:row>
          <xdr:rowOff>0</xdr:rowOff>
        </xdr:from>
        <xdr:to>
          <xdr:col>4</xdr:col>
          <xdr:colOff>228600</xdr:colOff>
          <xdr:row>24</xdr:row>
          <xdr:rowOff>142875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25</xdr:row>
          <xdr:rowOff>0</xdr:rowOff>
        </xdr:from>
        <xdr:to>
          <xdr:col>4</xdr:col>
          <xdr:colOff>228600</xdr:colOff>
          <xdr:row>25</xdr:row>
          <xdr:rowOff>142875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26</xdr:row>
          <xdr:rowOff>0</xdr:rowOff>
        </xdr:from>
        <xdr:to>
          <xdr:col>4</xdr:col>
          <xdr:colOff>228600</xdr:colOff>
          <xdr:row>26</xdr:row>
          <xdr:rowOff>142875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27</xdr:row>
          <xdr:rowOff>0</xdr:rowOff>
        </xdr:from>
        <xdr:to>
          <xdr:col>4</xdr:col>
          <xdr:colOff>228600</xdr:colOff>
          <xdr:row>27</xdr:row>
          <xdr:rowOff>142875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28</xdr:row>
          <xdr:rowOff>0</xdr:rowOff>
        </xdr:from>
        <xdr:to>
          <xdr:col>4</xdr:col>
          <xdr:colOff>228600</xdr:colOff>
          <xdr:row>28</xdr:row>
          <xdr:rowOff>142875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29</xdr:row>
          <xdr:rowOff>0</xdr:rowOff>
        </xdr:from>
        <xdr:to>
          <xdr:col>4</xdr:col>
          <xdr:colOff>228600</xdr:colOff>
          <xdr:row>29</xdr:row>
          <xdr:rowOff>142875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30</xdr:row>
          <xdr:rowOff>0</xdr:rowOff>
        </xdr:from>
        <xdr:to>
          <xdr:col>4</xdr:col>
          <xdr:colOff>228600</xdr:colOff>
          <xdr:row>30</xdr:row>
          <xdr:rowOff>142875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31</xdr:row>
          <xdr:rowOff>0</xdr:rowOff>
        </xdr:from>
        <xdr:to>
          <xdr:col>4</xdr:col>
          <xdr:colOff>228600</xdr:colOff>
          <xdr:row>31</xdr:row>
          <xdr:rowOff>142875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32</xdr:row>
          <xdr:rowOff>0</xdr:rowOff>
        </xdr:from>
        <xdr:to>
          <xdr:col>4</xdr:col>
          <xdr:colOff>228600</xdr:colOff>
          <xdr:row>32</xdr:row>
          <xdr:rowOff>142875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33</xdr:row>
          <xdr:rowOff>0</xdr:rowOff>
        </xdr:from>
        <xdr:to>
          <xdr:col>4</xdr:col>
          <xdr:colOff>228600</xdr:colOff>
          <xdr:row>33</xdr:row>
          <xdr:rowOff>142875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34</xdr:row>
          <xdr:rowOff>0</xdr:rowOff>
        </xdr:from>
        <xdr:to>
          <xdr:col>4</xdr:col>
          <xdr:colOff>228600</xdr:colOff>
          <xdr:row>34</xdr:row>
          <xdr:rowOff>142875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35</xdr:row>
          <xdr:rowOff>0</xdr:rowOff>
        </xdr:from>
        <xdr:to>
          <xdr:col>4</xdr:col>
          <xdr:colOff>228600</xdr:colOff>
          <xdr:row>35</xdr:row>
          <xdr:rowOff>142875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36</xdr:row>
          <xdr:rowOff>0</xdr:rowOff>
        </xdr:from>
        <xdr:to>
          <xdr:col>4</xdr:col>
          <xdr:colOff>228600</xdr:colOff>
          <xdr:row>36</xdr:row>
          <xdr:rowOff>142875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37</xdr:row>
          <xdr:rowOff>0</xdr:rowOff>
        </xdr:from>
        <xdr:to>
          <xdr:col>4</xdr:col>
          <xdr:colOff>228600</xdr:colOff>
          <xdr:row>37</xdr:row>
          <xdr:rowOff>142875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38</xdr:row>
          <xdr:rowOff>0</xdr:rowOff>
        </xdr:from>
        <xdr:to>
          <xdr:col>4</xdr:col>
          <xdr:colOff>228600</xdr:colOff>
          <xdr:row>38</xdr:row>
          <xdr:rowOff>142875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39</xdr:row>
          <xdr:rowOff>0</xdr:rowOff>
        </xdr:from>
        <xdr:to>
          <xdr:col>4</xdr:col>
          <xdr:colOff>228600</xdr:colOff>
          <xdr:row>39</xdr:row>
          <xdr:rowOff>142875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40</xdr:row>
          <xdr:rowOff>0</xdr:rowOff>
        </xdr:from>
        <xdr:to>
          <xdr:col>4</xdr:col>
          <xdr:colOff>228600</xdr:colOff>
          <xdr:row>40</xdr:row>
          <xdr:rowOff>142875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41</xdr:row>
          <xdr:rowOff>0</xdr:rowOff>
        </xdr:from>
        <xdr:to>
          <xdr:col>4</xdr:col>
          <xdr:colOff>228600</xdr:colOff>
          <xdr:row>41</xdr:row>
          <xdr:rowOff>142875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42</xdr:row>
          <xdr:rowOff>0</xdr:rowOff>
        </xdr:from>
        <xdr:to>
          <xdr:col>4</xdr:col>
          <xdr:colOff>228600</xdr:colOff>
          <xdr:row>42</xdr:row>
          <xdr:rowOff>142875</xdr:rowOff>
        </xdr:to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43</xdr:row>
          <xdr:rowOff>0</xdr:rowOff>
        </xdr:from>
        <xdr:to>
          <xdr:col>4</xdr:col>
          <xdr:colOff>228600</xdr:colOff>
          <xdr:row>43</xdr:row>
          <xdr:rowOff>142875</xdr:rowOff>
        </xdr:to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44</xdr:row>
          <xdr:rowOff>0</xdr:rowOff>
        </xdr:from>
        <xdr:to>
          <xdr:col>4</xdr:col>
          <xdr:colOff>228600</xdr:colOff>
          <xdr:row>44</xdr:row>
          <xdr:rowOff>142875</xdr:rowOff>
        </xdr:to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45</xdr:row>
          <xdr:rowOff>0</xdr:rowOff>
        </xdr:from>
        <xdr:to>
          <xdr:col>4</xdr:col>
          <xdr:colOff>228600</xdr:colOff>
          <xdr:row>45</xdr:row>
          <xdr:rowOff>142875</xdr:rowOff>
        </xdr:to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46</xdr:row>
          <xdr:rowOff>0</xdr:rowOff>
        </xdr:from>
        <xdr:to>
          <xdr:col>4</xdr:col>
          <xdr:colOff>228600</xdr:colOff>
          <xdr:row>46</xdr:row>
          <xdr:rowOff>142875</xdr:rowOff>
        </xdr:to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47</xdr:row>
          <xdr:rowOff>0</xdr:rowOff>
        </xdr:from>
        <xdr:to>
          <xdr:col>4</xdr:col>
          <xdr:colOff>228600</xdr:colOff>
          <xdr:row>47</xdr:row>
          <xdr:rowOff>142875</xdr:rowOff>
        </xdr:to>
        <xdr:sp macro="" textlink="">
          <xdr:nvSpPr>
            <xdr:cNvPr id="1073" name="Check Box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48</xdr:row>
          <xdr:rowOff>0</xdr:rowOff>
        </xdr:from>
        <xdr:to>
          <xdr:col>4</xdr:col>
          <xdr:colOff>228600</xdr:colOff>
          <xdr:row>48</xdr:row>
          <xdr:rowOff>142875</xdr:rowOff>
        </xdr:to>
        <xdr:sp macro="" textlink="">
          <xdr:nvSpPr>
            <xdr:cNvPr id="1074" name="Check Box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49</xdr:row>
          <xdr:rowOff>0</xdr:rowOff>
        </xdr:from>
        <xdr:to>
          <xdr:col>4</xdr:col>
          <xdr:colOff>228600</xdr:colOff>
          <xdr:row>49</xdr:row>
          <xdr:rowOff>142875</xdr:rowOff>
        </xdr:to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50</xdr:row>
          <xdr:rowOff>0</xdr:rowOff>
        </xdr:from>
        <xdr:to>
          <xdr:col>4</xdr:col>
          <xdr:colOff>228600</xdr:colOff>
          <xdr:row>50</xdr:row>
          <xdr:rowOff>142875</xdr:rowOff>
        </xdr:to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51</xdr:row>
          <xdr:rowOff>0</xdr:rowOff>
        </xdr:from>
        <xdr:to>
          <xdr:col>4</xdr:col>
          <xdr:colOff>228600</xdr:colOff>
          <xdr:row>51</xdr:row>
          <xdr:rowOff>142875</xdr:rowOff>
        </xdr:to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52</xdr:row>
          <xdr:rowOff>0</xdr:rowOff>
        </xdr:from>
        <xdr:to>
          <xdr:col>4</xdr:col>
          <xdr:colOff>228600</xdr:colOff>
          <xdr:row>52</xdr:row>
          <xdr:rowOff>142875</xdr:rowOff>
        </xdr:to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53</xdr:row>
          <xdr:rowOff>0</xdr:rowOff>
        </xdr:from>
        <xdr:to>
          <xdr:col>4</xdr:col>
          <xdr:colOff>228600</xdr:colOff>
          <xdr:row>53</xdr:row>
          <xdr:rowOff>142875</xdr:rowOff>
        </xdr:to>
        <xdr:sp macro="" textlink="">
          <xdr:nvSpPr>
            <xdr:cNvPr id="1079" name="Check Box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54</xdr:row>
          <xdr:rowOff>0</xdr:rowOff>
        </xdr:from>
        <xdr:to>
          <xdr:col>4</xdr:col>
          <xdr:colOff>228600</xdr:colOff>
          <xdr:row>54</xdr:row>
          <xdr:rowOff>142875</xdr:rowOff>
        </xdr:to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3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55</xdr:row>
          <xdr:rowOff>0</xdr:rowOff>
        </xdr:from>
        <xdr:to>
          <xdr:col>4</xdr:col>
          <xdr:colOff>228600</xdr:colOff>
          <xdr:row>55</xdr:row>
          <xdr:rowOff>142875</xdr:rowOff>
        </xdr:to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72359" cy="629879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6</xdr:row>
          <xdr:rowOff>9525</xdr:rowOff>
        </xdr:from>
        <xdr:to>
          <xdr:col>4</xdr:col>
          <xdr:colOff>228600</xdr:colOff>
          <xdr:row>6</xdr:row>
          <xdr:rowOff>152400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2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7</xdr:row>
          <xdr:rowOff>0</xdr:rowOff>
        </xdr:from>
        <xdr:to>
          <xdr:col>4</xdr:col>
          <xdr:colOff>228600</xdr:colOff>
          <xdr:row>7</xdr:row>
          <xdr:rowOff>142875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2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18</xdr:row>
          <xdr:rowOff>0</xdr:rowOff>
        </xdr:from>
        <xdr:to>
          <xdr:col>4</xdr:col>
          <xdr:colOff>228600</xdr:colOff>
          <xdr:row>18</xdr:row>
          <xdr:rowOff>142875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2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19</xdr:row>
          <xdr:rowOff>0</xdr:rowOff>
        </xdr:from>
        <xdr:to>
          <xdr:col>4</xdr:col>
          <xdr:colOff>228600</xdr:colOff>
          <xdr:row>19</xdr:row>
          <xdr:rowOff>142875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2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20</xdr:row>
          <xdr:rowOff>0</xdr:rowOff>
        </xdr:from>
        <xdr:to>
          <xdr:col>4</xdr:col>
          <xdr:colOff>228600</xdr:colOff>
          <xdr:row>20</xdr:row>
          <xdr:rowOff>142875</xdr:rowOff>
        </xdr:to>
        <xdr:sp macro="" textlink="">
          <xdr:nvSpPr>
            <xdr:cNvPr id="3077" name="Check Box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2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21</xdr:row>
          <xdr:rowOff>0</xdr:rowOff>
        </xdr:from>
        <xdr:to>
          <xdr:col>4</xdr:col>
          <xdr:colOff>228600</xdr:colOff>
          <xdr:row>21</xdr:row>
          <xdr:rowOff>142875</xdr:rowOff>
        </xdr:to>
        <xdr:sp macro="" textlink="">
          <xdr:nvSpPr>
            <xdr:cNvPr id="3078" name="Check Box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2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22</xdr:row>
          <xdr:rowOff>0</xdr:rowOff>
        </xdr:from>
        <xdr:to>
          <xdr:col>4</xdr:col>
          <xdr:colOff>228600</xdr:colOff>
          <xdr:row>22</xdr:row>
          <xdr:rowOff>142875</xdr:rowOff>
        </xdr:to>
        <xdr:sp macro="" textlink="">
          <xdr:nvSpPr>
            <xdr:cNvPr id="3079" name="Check Box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2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23</xdr:row>
          <xdr:rowOff>0</xdr:rowOff>
        </xdr:from>
        <xdr:to>
          <xdr:col>4</xdr:col>
          <xdr:colOff>228600</xdr:colOff>
          <xdr:row>23</xdr:row>
          <xdr:rowOff>142875</xdr:rowOff>
        </xdr:to>
        <xdr:sp macro="" textlink="">
          <xdr:nvSpPr>
            <xdr:cNvPr id="3080" name="Check Box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2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24</xdr:row>
          <xdr:rowOff>0</xdr:rowOff>
        </xdr:from>
        <xdr:to>
          <xdr:col>4</xdr:col>
          <xdr:colOff>228600</xdr:colOff>
          <xdr:row>24</xdr:row>
          <xdr:rowOff>142875</xdr:rowOff>
        </xdr:to>
        <xdr:sp macro="" textlink="">
          <xdr:nvSpPr>
            <xdr:cNvPr id="3081" name="Check Box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2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25</xdr:row>
          <xdr:rowOff>0</xdr:rowOff>
        </xdr:from>
        <xdr:to>
          <xdr:col>4</xdr:col>
          <xdr:colOff>228600</xdr:colOff>
          <xdr:row>25</xdr:row>
          <xdr:rowOff>142875</xdr:rowOff>
        </xdr:to>
        <xdr:sp macro="" textlink="">
          <xdr:nvSpPr>
            <xdr:cNvPr id="3082" name="Check Box 10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2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27</xdr:row>
          <xdr:rowOff>0</xdr:rowOff>
        </xdr:from>
        <xdr:to>
          <xdr:col>4</xdr:col>
          <xdr:colOff>228600</xdr:colOff>
          <xdr:row>27</xdr:row>
          <xdr:rowOff>142875</xdr:rowOff>
        </xdr:to>
        <xdr:sp macro="" textlink="">
          <xdr:nvSpPr>
            <xdr:cNvPr id="3083" name="Check Box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2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28</xdr:row>
          <xdr:rowOff>0</xdr:rowOff>
        </xdr:from>
        <xdr:to>
          <xdr:col>4</xdr:col>
          <xdr:colOff>228600</xdr:colOff>
          <xdr:row>28</xdr:row>
          <xdr:rowOff>142875</xdr:rowOff>
        </xdr:to>
        <xdr:sp macro="" textlink="">
          <xdr:nvSpPr>
            <xdr:cNvPr id="3084" name="Check Box 12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2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29</xdr:row>
          <xdr:rowOff>0</xdr:rowOff>
        </xdr:from>
        <xdr:to>
          <xdr:col>4</xdr:col>
          <xdr:colOff>228600</xdr:colOff>
          <xdr:row>29</xdr:row>
          <xdr:rowOff>142875</xdr:rowOff>
        </xdr:to>
        <xdr:sp macro="" textlink="">
          <xdr:nvSpPr>
            <xdr:cNvPr id="3085" name="Check Box 13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00000000-0008-0000-0200-00000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30</xdr:row>
          <xdr:rowOff>0</xdr:rowOff>
        </xdr:from>
        <xdr:to>
          <xdr:col>4</xdr:col>
          <xdr:colOff>228600</xdr:colOff>
          <xdr:row>30</xdr:row>
          <xdr:rowOff>142875</xdr:rowOff>
        </xdr:to>
        <xdr:sp macro="" textlink="">
          <xdr:nvSpPr>
            <xdr:cNvPr id="3086" name="Check Box 14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2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31</xdr:row>
          <xdr:rowOff>0</xdr:rowOff>
        </xdr:from>
        <xdr:to>
          <xdr:col>4</xdr:col>
          <xdr:colOff>228600</xdr:colOff>
          <xdr:row>31</xdr:row>
          <xdr:rowOff>142875</xdr:rowOff>
        </xdr:to>
        <xdr:sp macro="" textlink="">
          <xdr:nvSpPr>
            <xdr:cNvPr id="3087" name="Check Box 15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00000000-0008-0000-0200-00000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32</xdr:row>
          <xdr:rowOff>0</xdr:rowOff>
        </xdr:from>
        <xdr:to>
          <xdr:col>4</xdr:col>
          <xdr:colOff>228600</xdr:colOff>
          <xdr:row>32</xdr:row>
          <xdr:rowOff>142875</xdr:rowOff>
        </xdr:to>
        <xdr:sp macro="" textlink="">
          <xdr:nvSpPr>
            <xdr:cNvPr id="3088" name="Check Box 16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00000000-0008-0000-0200-00001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33</xdr:row>
          <xdr:rowOff>0</xdr:rowOff>
        </xdr:from>
        <xdr:to>
          <xdr:col>4</xdr:col>
          <xdr:colOff>228600</xdr:colOff>
          <xdr:row>33</xdr:row>
          <xdr:rowOff>142875</xdr:rowOff>
        </xdr:to>
        <xdr:sp macro="" textlink="">
          <xdr:nvSpPr>
            <xdr:cNvPr id="3089" name="Check Box 17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id="{00000000-0008-0000-0200-00001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34</xdr:row>
          <xdr:rowOff>0</xdr:rowOff>
        </xdr:from>
        <xdr:to>
          <xdr:col>4</xdr:col>
          <xdr:colOff>228600</xdr:colOff>
          <xdr:row>34</xdr:row>
          <xdr:rowOff>142875</xdr:rowOff>
        </xdr:to>
        <xdr:sp macro="" textlink="">
          <xdr:nvSpPr>
            <xdr:cNvPr id="3090" name="Check Box 18" hidden="1">
              <a:extLst>
                <a:ext uri="{63B3BB69-23CF-44E3-9099-C40C66FF867C}">
                  <a14:compatExt spid="_x0000_s3090"/>
                </a:ext>
                <a:ext uri="{FF2B5EF4-FFF2-40B4-BE49-F238E27FC236}">
                  <a16:creationId xmlns:a16="http://schemas.microsoft.com/office/drawing/2014/main" id="{00000000-0008-0000-0200-00001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35</xdr:row>
          <xdr:rowOff>0</xdr:rowOff>
        </xdr:from>
        <xdr:to>
          <xdr:col>4</xdr:col>
          <xdr:colOff>228600</xdr:colOff>
          <xdr:row>35</xdr:row>
          <xdr:rowOff>142875</xdr:rowOff>
        </xdr:to>
        <xdr:sp macro="" textlink="">
          <xdr:nvSpPr>
            <xdr:cNvPr id="3091" name="Check Box 19" hidden="1">
              <a:extLst>
                <a:ext uri="{63B3BB69-23CF-44E3-9099-C40C66FF867C}">
                  <a14:compatExt spid="_x0000_s3091"/>
                </a:ext>
                <a:ext uri="{FF2B5EF4-FFF2-40B4-BE49-F238E27FC236}">
                  <a16:creationId xmlns:a16="http://schemas.microsoft.com/office/drawing/2014/main" id="{00000000-0008-0000-0200-00001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36</xdr:row>
          <xdr:rowOff>0</xdr:rowOff>
        </xdr:from>
        <xdr:to>
          <xdr:col>4</xdr:col>
          <xdr:colOff>228600</xdr:colOff>
          <xdr:row>36</xdr:row>
          <xdr:rowOff>142875</xdr:rowOff>
        </xdr:to>
        <xdr:sp macro="" textlink="">
          <xdr:nvSpPr>
            <xdr:cNvPr id="3092" name="Check Box 20" hidden="1">
              <a:extLst>
                <a:ext uri="{63B3BB69-23CF-44E3-9099-C40C66FF867C}">
                  <a14:compatExt spid="_x0000_s3092"/>
                </a:ext>
                <a:ext uri="{FF2B5EF4-FFF2-40B4-BE49-F238E27FC236}">
                  <a16:creationId xmlns:a16="http://schemas.microsoft.com/office/drawing/2014/main" id="{00000000-0008-0000-0200-00001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37</xdr:row>
          <xdr:rowOff>0</xdr:rowOff>
        </xdr:from>
        <xdr:to>
          <xdr:col>4</xdr:col>
          <xdr:colOff>228600</xdr:colOff>
          <xdr:row>37</xdr:row>
          <xdr:rowOff>142875</xdr:rowOff>
        </xdr:to>
        <xdr:sp macro="" textlink="">
          <xdr:nvSpPr>
            <xdr:cNvPr id="3093" name="Check Box 21" hidden="1">
              <a:extLst>
                <a:ext uri="{63B3BB69-23CF-44E3-9099-C40C66FF867C}">
                  <a14:compatExt spid="_x0000_s3093"/>
                </a:ext>
                <a:ext uri="{FF2B5EF4-FFF2-40B4-BE49-F238E27FC236}">
                  <a16:creationId xmlns:a16="http://schemas.microsoft.com/office/drawing/2014/main" id="{00000000-0008-0000-0200-00001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90</xdr:row>
          <xdr:rowOff>0</xdr:rowOff>
        </xdr:from>
        <xdr:to>
          <xdr:col>4</xdr:col>
          <xdr:colOff>228600</xdr:colOff>
          <xdr:row>90</xdr:row>
          <xdr:rowOff>142875</xdr:rowOff>
        </xdr:to>
        <xdr:sp macro="" textlink="">
          <xdr:nvSpPr>
            <xdr:cNvPr id="3094" name="Check Box 22" hidden="1">
              <a:extLst>
                <a:ext uri="{63B3BB69-23CF-44E3-9099-C40C66FF867C}">
                  <a14:compatExt spid="_x0000_s3094"/>
                </a:ext>
                <a:ext uri="{FF2B5EF4-FFF2-40B4-BE49-F238E27FC236}">
                  <a16:creationId xmlns:a16="http://schemas.microsoft.com/office/drawing/2014/main" id="{00000000-0008-0000-0200-00001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91</xdr:row>
          <xdr:rowOff>0</xdr:rowOff>
        </xdr:from>
        <xdr:to>
          <xdr:col>4</xdr:col>
          <xdr:colOff>228600</xdr:colOff>
          <xdr:row>91</xdr:row>
          <xdr:rowOff>142875</xdr:rowOff>
        </xdr:to>
        <xdr:sp macro="" textlink="">
          <xdr:nvSpPr>
            <xdr:cNvPr id="3095" name="Check Box 23" hidden="1">
              <a:extLst>
                <a:ext uri="{63B3BB69-23CF-44E3-9099-C40C66FF867C}">
                  <a14:compatExt spid="_x0000_s3095"/>
                </a:ext>
                <a:ext uri="{FF2B5EF4-FFF2-40B4-BE49-F238E27FC236}">
                  <a16:creationId xmlns:a16="http://schemas.microsoft.com/office/drawing/2014/main" id="{00000000-0008-0000-0200-00001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92</xdr:row>
          <xdr:rowOff>0</xdr:rowOff>
        </xdr:from>
        <xdr:to>
          <xdr:col>4</xdr:col>
          <xdr:colOff>228600</xdr:colOff>
          <xdr:row>92</xdr:row>
          <xdr:rowOff>142875</xdr:rowOff>
        </xdr:to>
        <xdr:sp macro="" textlink="">
          <xdr:nvSpPr>
            <xdr:cNvPr id="3096" name="Check Box 24" hidden="1">
              <a:extLst>
                <a:ext uri="{63B3BB69-23CF-44E3-9099-C40C66FF867C}">
                  <a14:compatExt spid="_x0000_s3096"/>
                </a:ext>
                <a:ext uri="{FF2B5EF4-FFF2-40B4-BE49-F238E27FC236}">
                  <a16:creationId xmlns:a16="http://schemas.microsoft.com/office/drawing/2014/main" id="{00000000-0008-0000-0200-00001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93</xdr:row>
          <xdr:rowOff>0</xdr:rowOff>
        </xdr:from>
        <xdr:to>
          <xdr:col>4</xdr:col>
          <xdr:colOff>228600</xdr:colOff>
          <xdr:row>93</xdr:row>
          <xdr:rowOff>142875</xdr:rowOff>
        </xdr:to>
        <xdr:sp macro="" textlink="">
          <xdr:nvSpPr>
            <xdr:cNvPr id="3097" name="Check Box 25" hidden="1">
              <a:extLst>
                <a:ext uri="{63B3BB69-23CF-44E3-9099-C40C66FF867C}">
                  <a14:compatExt spid="_x0000_s3097"/>
                </a:ext>
                <a:ext uri="{FF2B5EF4-FFF2-40B4-BE49-F238E27FC236}">
                  <a16:creationId xmlns:a16="http://schemas.microsoft.com/office/drawing/2014/main" id="{00000000-0008-0000-0200-00001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122</xdr:row>
          <xdr:rowOff>0</xdr:rowOff>
        </xdr:from>
        <xdr:to>
          <xdr:col>4</xdr:col>
          <xdr:colOff>228600</xdr:colOff>
          <xdr:row>122</xdr:row>
          <xdr:rowOff>142875</xdr:rowOff>
        </xdr:to>
        <xdr:sp macro="" textlink="">
          <xdr:nvSpPr>
            <xdr:cNvPr id="3098" name="Check Box 26" hidden="1">
              <a:extLst>
                <a:ext uri="{63B3BB69-23CF-44E3-9099-C40C66FF867C}">
                  <a14:compatExt spid="_x0000_s3098"/>
                </a:ext>
                <a:ext uri="{FF2B5EF4-FFF2-40B4-BE49-F238E27FC236}">
                  <a16:creationId xmlns:a16="http://schemas.microsoft.com/office/drawing/2014/main" id="{00000000-0008-0000-0200-00001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123</xdr:row>
          <xdr:rowOff>0</xdr:rowOff>
        </xdr:from>
        <xdr:to>
          <xdr:col>4</xdr:col>
          <xdr:colOff>228600</xdr:colOff>
          <xdr:row>123</xdr:row>
          <xdr:rowOff>142875</xdr:rowOff>
        </xdr:to>
        <xdr:sp macro="" textlink="">
          <xdr:nvSpPr>
            <xdr:cNvPr id="3099" name="Check Box 27" hidden="1">
              <a:extLst>
                <a:ext uri="{63B3BB69-23CF-44E3-9099-C40C66FF867C}">
                  <a14:compatExt spid="_x0000_s3099"/>
                </a:ext>
                <a:ext uri="{FF2B5EF4-FFF2-40B4-BE49-F238E27FC236}">
                  <a16:creationId xmlns:a16="http://schemas.microsoft.com/office/drawing/2014/main" id="{00000000-0008-0000-0200-00001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124</xdr:row>
          <xdr:rowOff>0</xdr:rowOff>
        </xdr:from>
        <xdr:to>
          <xdr:col>4</xdr:col>
          <xdr:colOff>228600</xdr:colOff>
          <xdr:row>124</xdr:row>
          <xdr:rowOff>142875</xdr:rowOff>
        </xdr:to>
        <xdr:sp macro="" textlink="">
          <xdr:nvSpPr>
            <xdr:cNvPr id="3100" name="Check Box 28" hidden="1">
              <a:extLst>
                <a:ext uri="{63B3BB69-23CF-44E3-9099-C40C66FF867C}">
                  <a14:compatExt spid="_x0000_s3100"/>
                </a:ext>
                <a:ext uri="{FF2B5EF4-FFF2-40B4-BE49-F238E27FC236}">
                  <a16:creationId xmlns:a16="http://schemas.microsoft.com/office/drawing/2014/main" id="{00000000-0008-0000-0200-00001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125</xdr:row>
          <xdr:rowOff>0</xdr:rowOff>
        </xdr:from>
        <xdr:to>
          <xdr:col>4</xdr:col>
          <xdr:colOff>228600</xdr:colOff>
          <xdr:row>125</xdr:row>
          <xdr:rowOff>142875</xdr:rowOff>
        </xdr:to>
        <xdr:sp macro="" textlink="">
          <xdr:nvSpPr>
            <xdr:cNvPr id="3101" name="Check Box 29" hidden="1">
              <a:extLst>
                <a:ext uri="{63B3BB69-23CF-44E3-9099-C40C66FF867C}">
                  <a14:compatExt spid="_x0000_s3101"/>
                </a:ext>
                <a:ext uri="{FF2B5EF4-FFF2-40B4-BE49-F238E27FC236}">
                  <a16:creationId xmlns:a16="http://schemas.microsoft.com/office/drawing/2014/main" id="{00000000-0008-0000-0200-00001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126</xdr:row>
          <xdr:rowOff>0</xdr:rowOff>
        </xdr:from>
        <xdr:to>
          <xdr:col>4</xdr:col>
          <xdr:colOff>228600</xdr:colOff>
          <xdr:row>126</xdr:row>
          <xdr:rowOff>142875</xdr:rowOff>
        </xdr:to>
        <xdr:sp macro="" textlink="">
          <xdr:nvSpPr>
            <xdr:cNvPr id="3102" name="Check Box 30" hidden="1">
              <a:extLst>
                <a:ext uri="{63B3BB69-23CF-44E3-9099-C40C66FF867C}">
                  <a14:compatExt spid="_x0000_s3102"/>
                </a:ext>
                <a:ext uri="{FF2B5EF4-FFF2-40B4-BE49-F238E27FC236}">
                  <a16:creationId xmlns:a16="http://schemas.microsoft.com/office/drawing/2014/main" id="{00000000-0008-0000-0200-00001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127</xdr:row>
          <xdr:rowOff>0</xdr:rowOff>
        </xdr:from>
        <xdr:to>
          <xdr:col>4</xdr:col>
          <xdr:colOff>228600</xdr:colOff>
          <xdr:row>127</xdr:row>
          <xdr:rowOff>142875</xdr:rowOff>
        </xdr:to>
        <xdr:sp macro="" textlink="">
          <xdr:nvSpPr>
            <xdr:cNvPr id="3103" name="Check Box 31" hidden="1">
              <a:extLst>
                <a:ext uri="{63B3BB69-23CF-44E3-9099-C40C66FF867C}">
                  <a14:compatExt spid="_x0000_s3103"/>
                </a:ext>
                <a:ext uri="{FF2B5EF4-FFF2-40B4-BE49-F238E27FC236}">
                  <a16:creationId xmlns:a16="http://schemas.microsoft.com/office/drawing/2014/main" id="{00000000-0008-0000-0200-00001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128</xdr:row>
          <xdr:rowOff>0</xdr:rowOff>
        </xdr:from>
        <xdr:to>
          <xdr:col>4</xdr:col>
          <xdr:colOff>228600</xdr:colOff>
          <xdr:row>128</xdr:row>
          <xdr:rowOff>142875</xdr:rowOff>
        </xdr:to>
        <xdr:sp macro="" textlink="">
          <xdr:nvSpPr>
            <xdr:cNvPr id="3104" name="Check Box 32" hidden="1">
              <a:extLst>
                <a:ext uri="{63B3BB69-23CF-44E3-9099-C40C66FF867C}">
                  <a14:compatExt spid="_x0000_s3104"/>
                </a:ext>
                <a:ext uri="{FF2B5EF4-FFF2-40B4-BE49-F238E27FC236}">
                  <a16:creationId xmlns:a16="http://schemas.microsoft.com/office/drawing/2014/main" id="{00000000-0008-0000-0200-00002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129</xdr:row>
          <xdr:rowOff>0</xdr:rowOff>
        </xdr:from>
        <xdr:to>
          <xdr:col>4</xdr:col>
          <xdr:colOff>228600</xdr:colOff>
          <xdr:row>129</xdr:row>
          <xdr:rowOff>142875</xdr:rowOff>
        </xdr:to>
        <xdr:sp macro="" textlink="">
          <xdr:nvSpPr>
            <xdr:cNvPr id="3105" name="Check Box 33" hidden="1">
              <a:extLst>
                <a:ext uri="{63B3BB69-23CF-44E3-9099-C40C66FF867C}">
                  <a14:compatExt spid="_x0000_s3105"/>
                </a:ext>
                <a:ext uri="{FF2B5EF4-FFF2-40B4-BE49-F238E27FC236}">
                  <a16:creationId xmlns:a16="http://schemas.microsoft.com/office/drawing/2014/main" id="{00000000-0008-0000-0200-00002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130</xdr:row>
          <xdr:rowOff>0</xdr:rowOff>
        </xdr:from>
        <xdr:to>
          <xdr:col>4</xdr:col>
          <xdr:colOff>228600</xdr:colOff>
          <xdr:row>130</xdr:row>
          <xdr:rowOff>142875</xdr:rowOff>
        </xdr:to>
        <xdr:sp macro="" textlink="">
          <xdr:nvSpPr>
            <xdr:cNvPr id="3106" name="Check Box 34" hidden="1">
              <a:extLst>
                <a:ext uri="{63B3BB69-23CF-44E3-9099-C40C66FF867C}">
                  <a14:compatExt spid="_x0000_s3106"/>
                </a:ext>
                <a:ext uri="{FF2B5EF4-FFF2-40B4-BE49-F238E27FC236}">
                  <a16:creationId xmlns:a16="http://schemas.microsoft.com/office/drawing/2014/main" id="{00000000-0008-0000-0200-00002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131</xdr:row>
          <xdr:rowOff>0</xdr:rowOff>
        </xdr:from>
        <xdr:to>
          <xdr:col>4</xdr:col>
          <xdr:colOff>228600</xdr:colOff>
          <xdr:row>131</xdr:row>
          <xdr:rowOff>142875</xdr:rowOff>
        </xdr:to>
        <xdr:sp macro="" textlink="">
          <xdr:nvSpPr>
            <xdr:cNvPr id="3107" name="Check Box 35" hidden="1">
              <a:extLst>
                <a:ext uri="{63B3BB69-23CF-44E3-9099-C40C66FF867C}">
                  <a14:compatExt spid="_x0000_s3107"/>
                </a:ext>
                <a:ext uri="{FF2B5EF4-FFF2-40B4-BE49-F238E27FC236}">
                  <a16:creationId xmlns:a16="http://schemas.microsoft.com/office/drawing/2014/main" id="{00000000-0008-0000-0200-00002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132</xdr:row>
          <xdr:rowOff>0</xdr:rowOff>
        </xdr:from>
        <xdr:to>
          <xdr:col>4</xdr:col>
          <xdr:colOff>228600</xdr:colOff>
          <xdr:row>132</xdr:row>
          <xdr:rowOff>142875</xdr:rowOff>
        </xdr:to>
        <xdr:sp macro="" textlink="">
          <xdr:nvSpPr>
            <xdr:cNvPr id="3108" name="Check Box 36" hidden="1">
              <a:extLst>
                <a:ext uri="{63B3BB69-23CF-44E3-9099-C40C66FF867C}">
                  <a14:compatExt spid="_x0000_s3108"/>
                </a:ext>
                <a:ext uri="{FF2B5EF4-FFF2-40B4-BE49-F238E27FC236}">
                  <a16:creationId xmlns:a16="http://schemas.microsoft.com/office/drawing/2014/main" id="{00000000-0008-0000-0200-00002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133</xdr:row>
          <xdr:rowOff>0</xdr:rowOff>
        </xdr:from>
        <xdr:to>
          <xdr:col>4</xdr:col>
          <xdr:colOff>228600</xdr:colOff>
          <xdr:row>133</xdr:row>
          <xdr:rowOff>142875</xdr:rowOff>
        </xdr:to>
        <xdr:sp macro="" textlink="">
          <xdr:nvSpPr>
            <xdr:cNvPr id="3109" name="Check Box 37" hidden="1">
              <a:extLst>
                <a:ext uri="{63B3BB69-23CF-44E3-9099-C40C66FF867C}">
                  <a14:compatExt spid="_x0000_s3109"/>
                </a:ext>
                <a:ext uri="{FF2B5EF4-FFF2-40B4-BE49-F238E27FC236}">
                  <a16:creationId xmlns:a16="http://schemas.microsoft.com/office/drawing/2014/main" id="{00000000-0008-0000-0200-00002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134</xdr:row>
          <xdr:rowOff>0</xdr:rowOff>
        </xdr:from>
        <xdr:to>
          <xdr:col>4</xdr:col>
          <xdr:colOff>228600</xdr:colOff>
          <xdr:row>134</xdr:row>
          <xdr:rowOff>142875</xdr:rowOff>
        </xdr:to>
        <xdr:sp macro="" textlink="">
          <xdr:nvSpPr>
            <xdr:cNvPr id="3110" name="Check Box 38" hidden="1">
              <a:extLst>
                <a:ext uri="{63B3BB69-23CF-44E3-9099-C40C66FF867C}">
                  <a14:compatExt spid="_x0000_s3110"/>
                </a:ext>
                <a:ext uri="{FF2B5EF4-FFF2-40B4-BE49-F238E27FC236}">
                  <a16:creationId xmlns:a16="http://schemas.microsoft.com/office/drawing/2014/main" id="{00000000-0008-0000-0200-00002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135</xdr:row>
          <xdr:rowOff>0</xdr:rowOff>
        </xdr:from>
        <xdr:to>
          <xdr:col>4</xdr:col>
          <xdr:colOff>228600</xdr:colOff>
          <xdr:row>135</xdr:row>
          <xdr:rowOff>142875</xdr:rowOff>
        </xdr:to>
        <xdr:sp macro="" textlink="">
          <xdr:nvSpPr>
            <xdr:cNvPr id="3111" name="Check Box 39" hidden="1">
              <a:extLst>
                <a:ext uri="{63B3BB69-23CF-44E3-9099-C40C66FF867C}">
                  <a14:compatExt spid="_x0000_s3111"/>
                </a:ext>
                <a:ext uri="{FF2B5EF4-FFF2-40B4-BE49-F238E27FC236}">
                  <a16:creationId xmlns:a16="http://schemas.microsoft.com/office/drawing/2014/main" id="{00000000-0008-0000-0200-00002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136</xdr:row>
          <xdr:rowOff>0</xdr:rowOff>
        </xdr:from>
        <xdr:to>
          <xdr:col>4</xdr:col>
          <xdr:colOff>228600</xdr:colOff>
          <xdr:row>136</xdr:row>
          <xdr:rowOff>142875</xdr:rowOff>
        </xdr:to>
        <xdr:sp macro="" textlink="">
          <xdr:nvSpPr>
            <xdr:cNvPr id="3112" name="Check Box 40" hidden="1">
              <a:extLst>
                <a:ext uri="{63B3BB69-23CF-44E3-9099-C40C66FF867C}">
                  <a14:compatExt spid="_x0000_s3112"/>
                </a:ext>
                <a:ext uri="{FF2B5EF4-FFF2-40B4-BE49-F238E27FC236}">
                  <a16:creationId xmlns:a16="http://schemas.microsoft.com/office/drawing/2014/main" id="{00000000-0008-0000-0200-00002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137</xdr:row>
          <xdr:rowOff>0</xdr:rowOff>
        </xdr:from>
        <xdr:to>
          <xdr:col>4</xdr:col>
          <xdr:colOff>228600</xdr:colOff>
          <xdr:row>137</xdr:row>
          <xdr:rowOff>142875</xdr:rowOff>
        </xdr:to>
        <xdr:sp macro="" textlink="">
          <xdr:nvSpPr>
            <xdr:cNvPr id="3113" name="Check Box 41" hidden="1">
              <a:extLst>
                <a:ext uri="{63B3BB69-23CF-44E3-9099-C40C66FF867C}">
                  <a14:compatExt spid="_x0000_s3113"/>
                </a:ext>
                <a:ext uri="{FF2B5EF4-FFF2-40B4-BE49-F238E27FC236}">
                  <a16:creationId xmlns:a16="http://schemas.microsoft.com/office/drawing/2014/main" id="{00000000-0008-0000-0200-00002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138</xdr:row>
          <xdr:rowOff>0</xdr:rowOff>
        </xdr:from>
        <xdr:to>
          <xdr:col>4</xdr:col>
          <xdr:colOff>228600</xdr:colOff>
          <xdr:row>138</xdr:row>
          <xdr:rowOff>142875</xdr:rowOff>
        </xdr:to>
        <xdr:sp macro="" textlink="">
          <xdr:nvSpPr>
            <xdr:cNvPr id="3114" name="Check Box 42" hidden="1">
              <a:extLst>
                <a:ext uri="{63B3BB69-23CF-44E3-9099-C40C66FF867C}">
                  <a14:compatExt spid="_x0000_s3114"/>
                </a:ext>
                <a:ext uri="{FF2B5EF4-FFF2-40B4-BE49-F238E27FC236}">
                  <a16:creationId xmlns:a16="http://schemas.microsoft.com/office/drawing/2014/main" id="{00000000-0008-0000-0200-00002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139</xdr:row>
          <xdr:rowOff>0</xdr:rowOff>
        </xdr:from>
        <xdr:to>
          <xdr:col>4</xdr:col>
          <xdr:colOff>228600</xdr:colOff>
          <xdr:row>139</xdr:row>
          <xdr:rowOff>142875</xdr:rowOff>
        </xdr:to>
        <xdr:sp macro="" textlink="">
          <xdr:nvSpPr>
            <xdr:cNvPr id="3115" name="Check Box 43" hidden="1">
              <a:extLst>
                <a:ext uri="{63B3BB69-23CF-44E3-9099-C40C66FF867C}">
                  <a14:compatExt spid="_x0000_s3115"/>
                </a:ext>
                <a:ext uri="{FF2B5EF4-FFF2-40B4-BE49-F238E27FC236}">
                  <a16:creationId xmlns:a16="http://schemas.microsoft.com/office/drawing/2014/main" id="{00000000-0008-0000-0200-00002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26</xdr:row>
          <xdr:rowOff>0</xdr:rowOff>
        </xdr:from>
        <xdr:to>
          <xdr:col>4</xdr:col>
          <xdr:colOff>228600</xdr:colOff>
          <xdr:row>26</xdr:row>
          <xdr:rowOff>142875</xdr:rowOff>
        </xdr:to>
        <xdr:sp macro="" textlink="">
          <xdr:nvSpPr>
            <xdr:cNvPr id="3125" name="Check Box 53" hidden="1">
              <a:extLst>
                <a:ext uri="{63B3BB69-23CF-44E3-9099-C40C66FF867C}">
                  <a14:compatExt spid="_x0000_s3125"/>
                </a:ext>
                <a:ext uri="{FF2B5EF4-FFF2-40B4-BE49-F238E27FC236}">
                  <a16:creationId xmlns:a16="http://schemas.microsoft.com/office/drawing/2014/main" id="{00000000-0008-0000-0200-00003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138</xdr:row>
          <xdr:rowOff>0</xdr:rowOff>
        </xdr:from>
        <xdr:to>
          <xdr:col>4</xdr:col>
          <xdr:colOff>228600</xdr:colOff>
          <xdr:row>138</xdr:row>
          <xdr:rowOff>142875</xdr:rowOff>
        </xdr:to>
        <xdr:sp macro="" textlink="">
          <xdr:nvSpPr>
            <xdr:cNvPr id="3129" name="Check Box 57" hidden="1">
              <a:extLst>
                <a:ext uri="{63B3BB69-23CF-44E3-9099-C40C66FF867C}">
                  <a14:compatExt spid="_x0000_s3129"/>
                </a:ext>
                <a:ext uri="{FF2B5EF4-FFF2-40B4-BE49-F238E27FC236}">
                  <a16:creationId xmlns:a16="http://schemas.microsoft.com/office/drawing/2014/main" id="{00000000-0008-0000-0200-00003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139</xdr:row>
          <xdr:rowOff>0</xdr:rowOff>
        </xdr:from>
        <xdr:to>
          <xdr:col>4</xdr:col>
          <xdr:colOff>228600</xdr:colOff>
          <xdr:row>139</xdr:row>
          <xdr:rowOff>142875</xdr:rowOff>
        </xdr:to>
        <xdr:sp macro="" textlink="">
          <xdr:nvSpPr>
            <xdr:cNvPr id="3130" name="Check Box 58" hidden="1">
              <a:extLst>
                <a:ext uri="{63B3BB69-23CF-44E3-9099-C40C66FF867C}">
                  <a14:compatExt spid="_x0000_s3130"/>
                </a:ext>
                <a:ext uri="{FF2B5EF4-FFF2-40B4-BE49-F238E27FC236}">
                  <a16:creationId xmlns:a16="http://schemas.microsoft.com/office/drawing/2014/main" id="{00000000-0008-0000-0200-00003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176</xdr:row>
          <xdr:rowOff>0</xdr:rowOff>
        </xdr:from>
        <xdr:to>
          <xdr:col>4</xdr:col>
          <xdr:colOff>228600</xdr:colOff>
          <xdr:row>176</xdr:row>
          <xdr:rowOff>142875</xdr:rowOff>
        </xdr:to>
        <xdr:sp macro="" textlink="">
          <xdr:nvSpPr>
            <xdr:cNvPr id="3131" name="Check Box 59" hidden="1">
              <a:extLst>
                <a:ext uri="{63B3BB69-23CF-44E3-9099-C40C66FF867C}">
                  <a14:compatExt spid="_x0000_s3131"/>
                </a:ext>
                <a:ext uri="{FF2B5EF4-FFF2-40B4-BE49-F238E27FC236}">
                  <a16:creationId xmlns:a16="http://schemas.microsoft.com/office/drawing/2014/main" id="{00000000-0008-0000-0200-00003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177</xdr:row>
          <xdr:rowOff>0</xdr:rowOff>
        </xdr:from>
        <xdr:to>
          <xdr:col>4</xdr:col>
          <xdr:colOff>228600</xdr:colOff>
          <xdr:row>177</xdr:row>
          <xdr:rowOff>142875</xdr:rowOff>
        </xdr:to>
        <xdr:sp macro="" textlink="">
          <xdr:nvSpPr>
            <xdr:cNvPr id="3132" name="Check Box 60" hidden="1">
              <a:extLst>
                <a:ext uri="{63B3BB69-23CF-44E3-9099-C40C66FF867C}">
                  <a14:compatExt spid="_x0000_s3132"/>
                </a:ext>
                <a:ext uri="{FF2B5EF4-FFF2-40B4-BE49-F238E27FC236}">
                  <a16:creationId xmlns:a16="http://schemas.microsoft.com/office/drawing/2014/main" id="{00000000-0008-0000-0200-00003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178</xdr:row>
          <xdr:rowOff>0</xdr:rowOff>
        </xdr:from>
        <xdr:to>
          <xdr:col>4</xdr:col>
          <xdr:colOff>228600</xdr:colOff>
          <xdr:row>178</xdr:row>
          <xdr:rowOff>142875</xdr:rowOff>
        </xdr:to>
        <xdr:sp macro="" textlink="">
          <xdr:nvSpPr>
            <xdr:cNvPr id="3133" name="Check Box 61" hidden="1">
              <a:extLst>
                <a:ext uri="{63B3BB69-23CF-44E3-9099-C40C66FF867C}">
                  <a14:compatExt spid="_x0000_s3133"/>
                </a:ext>
                <a:ext uri="{FF2B5EF4-FFF2-40B4-BE49-F238E27FC236}">
                  <a16:creationId xmlns:a16="http://schemas.microsoft.com/office/drawing/2014/main" id="{00000000-0008-0000-0200-00003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179</xdr:row>
          <xdr:rowOff>0</xdr:rowOff>
        </xdr:from>
        <xdr:to>
          <xdr:col>4</xdr:col>
          <xdr:colOff>228600</xdr:colOff>
          <xdr:row>179</xdr:row>
          <xdr:rowOff>142875</xdr:rowOff>
        </xdr:to>
        <xdr:sp macro="" textlink="">
          <xdr:nvSpPr>
            <xdr:cNvPr id="3134" name="Check Box 62" hidden="1">
              <a:extLst>
                <a:ext uri="{63B3BB69-23CF-44E3-9099-C40C66FF867C}">
                  <a14:compatExt spid="_x0000_s3134"/>
                </a:ext>
                <a:ext uri="{FF2B5EF4-FFF2-40B4-BE49-F238E27FC236}">
                  <a16:creationId xmlns:a16="http://schemas.microsoft.com/office/drawing/2014/main" id="{00000000-0008-0000-0200-00003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180</xdr:row>
          <xdr:rowOff>0</xdr:rowOff>
        </xdr:from>
        <xdr:to>
          <xdr:col>4</xdr:col>
          <xdr:colOff>228600</xdr:colOff>
          <xdr:row>180</xdr:row>
          <xdr:rowOff>142875</xdr:rowOff>
        </xdr:to>
        <xdr:sp macro="" textlink="">
          <xdr:nvSpPr>
            <xdr:cNvPr id="3135" name="Check Box 63" hidden="1">
              <a:extLst>
                <a:ext uri="{63B3BB69-23CF-44E3-9099-C40C66FF867C}">
                  <a14:compatExt spid="_x0000_s3135"/>
                </a:ext>
                <a:ext uri="{FF2B5EF4-FFF2-40B4-BE49-F238E27FC236}">
                  <a16:creationId xmlns:a16="http://schemas.microsoft.com/office/drawing/2014/main" id="{00000000-0008-0000-0200-00003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181</xdr:row>
          <xdr:rowOff>0</xdr:rowOff>
        </xdr:from>
        <xdr:to>
          <xdr:col>4</xdr:col>
          <xdr:colOff>228600</xdr:colOff>
          <xdr:row>181</xdr:row>
          <xdr:rowOff>142875</xdr:rowOff>
        </xdr:to>
        <xdr:sp macro="" textlink="">
          <xdr:nvSpPr>
            <xdr:cNvPr id="3136" name="Check Box 64" hidden="1">
              <a:extLst>
                <a:ext uri="{63B3BB69-23CF-44E3-9099-C40C66FF867C}">
                  <a14:compatExt spid="_x0000_s3136"/>
                </a:ext>
                <a:ext uri="{FF2B5EF4-FFF2-40B4-BE49-F238E27FC236}">
                  <a16:creationId xmlns:a16="http://schemas.microsoft.com/office/drawing/2014/main" id="{00000000-0008-0000-0200-00004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182</xdr:row>
          <xdr:rowOff>0</xdr:rowOff>
        </xdr:from>
        <xdr:to>
          <xdr:col>4</xdr:col>
          <xdr:colOff>228600</xdr:colOff>
          <xdr:row>182</xdr:row>
          <xdr:rowOff>142875</xdr:rowOff>
        </xdr:to>
        <xdr:sp macro="" textlink="">
          <xdr:nvSpPr>
            <xdr:cNvPr id="3137" name="Check Box 65" hidden="1">
              <a:extLst>
                <a:ext uri="{63B3BB69-23CF-44E3-9099-C40C66FF867C}">
                  <a14:compatExt spid="_x0000_s3137"/>
                </a:ext>
                <a:ext uri="{FF2B5EF4-FFF2-40B4-BE49-F238E27FC236}">
                  <a16:creationId xmlns:a16="http://schemas.microsoft.com/office/drawing/2014/main" id="{00000000-0008-0000-0200-00004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183</xdr:row>
          <xdr:rowOff>0</xdr:rowOff>
        </xdr:from>
        <xdr:to>
          <xdr:col>4</xdr:col>
          <xdr:colOff>228600</xdr:colOff>
          <xdr:row>183</xdr:row>
          <xdr:rowOff>142875</xdr:rowOff>
        </xdr:to>
        <xdr:sp macro="" textlink="">
          <xdr:nvSpPr>
            <xdr:cNvPr id="3138" name="Check Box 66" hidden="1">
              <a:extLst>
                <a:ext uri="{63B3BB69-23CF-44E3-9099-C40C66FF867C}">
                  <a14:compatExt spid="_x0000_s3138"/>
                </a:ext>
                <a:ext uri="{FF2B5EF4-FFF2-40B4-BE49-F238E27FC236}">
                  <a16:creationId xmlns:a16="http://schemas.microsoft.com/office/drawing/2014/main" id="{00000000-0008-0000-0200-00004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184</xdr:row>
          <xdr:rowOff>0</xdr:rowOff>
        </xdr:from>
        <xdr:to>
          <xdr:col>4</xdr:col>
          <xdr:colOff>228600</xdr:colOff>
          <xdr:row>184</xdr:row>
          <xdr:rowOff>142875</xdr:rowOff>
        </xdr:to>
        <xdr:sp macro="" textlink="">
          <xdr:nvSpPr>
            <xdr:cNvPr id="3139" name="Check Box 67" hidden="1">
              <a:extLst>
                <a:ext uri="{63B3BB69-23CF-44E3-9099-C40C66FF867C}">
                  <a14:compatExt spid="_x0000_s3139"/>
                </a:ext>
                <a:ext uri="{FF2B5EF4-FFF2-40B4-BE49-F238E27FC236}">
                  <a16:creationId xmlns:a16="http://schemas.microsoft.com/office/drawing/2014/main" id="{00000000-0008-0000-0200-00004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185</xdr:row>
          <xdr:rowOff>0</xdr:rowOff>
        </xdr:from>
        <xdr:to>
          <xdr:col>4</xdr:col>
          <xdr:colOff>228600</xdr:colOff>
          <xdr:row>185</xdr:row>
          <xdr:rowOff>142875</xdr:rowOff>
        </xdr:to>
        <xdr:sp macro="" textlink="">
          <xdr:nvSpPr>
            <xdr:cNvPr id="3140" name="Check Box 68" hidden="1">
              <a:extLst>
                <a:ext uri="{63B3BB69-23CF-44E3-9099-C40C66FF867C}">
                  <a14:compatExt spid="_x0000_s3140"/>
                </a:ext>
                <a:ext uri="{FF2B5EF4-FFF2-40B4-BE49-F238E27FC236}">
                  <a16:creationId xmlns:a16="http://schemas.microsoft.com/office/drawing/2014/main" id="{00000000-0008-0000-0200-00004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186</xdr:row>
          <xdr:rowOff>0</xdr:rowOff>
        </xdr:from>
        <xdr:to>
          <xdr:col>4</xdr:col>
          <xdr:colOff>228600</xdr:colOff>
          <xdr:row>186</xdr:row>
          <xdr:rowOff>142875</xdr:rowOff>
        </xdr:to>
        <xdr:sp macro="" textlink="">
          <xdr:nvSpPr>
            <xdr:cNvPr id="3141" name="Check Box 69" hidden="1">
              <a:extLst>
                <a:ext uri="{63B3BB69-23CF-44E3-9099-C40C66FF867C}">
                  <a14:compatExt spid="_x0000_s3141"/>
                </a:ext>
                <a:ext uri="{FF2B5EF4-FFF2-40B4-BE49-F238E27FC236}">
                  <a16:creationId xmlns:a16="http://schemas.microsoft.com/office/drawing/2014/main" id="{00000000-0008-0000-0200-00004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187</xdr:row>
          <xdr:rowOff>0</xdr:rowOff>
        </xdr:from>
        <xdr:to>
          <xdr:col>4</xdr:col>
          <xdr:colOff>228600</xdr:colOff>
          <xdr:row>187</xdr:row>
          <xdr:rowOff>142875</xdr:rowOff>
        </xdr:to>
        <xdr:sp macro="" textlink="">
          <xdr:nvSpPr>
            <xdr:cNvPr id="3142" name="Check Box 70" hidden="1">
              <a:extLst>
                <a:ext uri="{63B3BB69-23CF-44E3-9099-C40C66FF867C}">
                  <a14:compatExt spid="_x0000_s3142"/>
                </a:ext>
                <a:ext uri="{FF2B5EF4-FFF2-40B4-BE49-F238E27FC236}">
                  <a16:creationId xmlns:a16="http://schemas.microsoft.com/office/drawing/2014/main" id="{00000000-0008-0000-0200-00004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192</xdr:row>
          <xdr:rowOff>0</xdr:rowOff>
        </xdr:from>
        <xdr:to>
          <xdr:col>4</xdr:col>
          <xdr:colOff>228600</xdr:colOff>
          <xdr:row>192</xdr:row>
          <xdr:rowOff>142875</xdr:rowOff>
        </xdr:to>
        <xdr:sp macro="" textlink="">
          <xdr:nvSpPr>
            <xdr:cNvPr id="3143" name="Check Box 71" hidden="1">
              <a:extLst>
                <a:ext uri="{63B3BB69-23CF-44E3-9099-C40C66FF867C}">
                  <a14:compatExt spid="_x0000_s3143"/>
                </a:ext>
                <a:ext uri="{FF2B5EF4-FFF2-40B4-BE49-F238E27FC236}">
                  <a16:creationId xmlns:a16="http://schemas.microsoft.com/office/drawing/2014/main" id="{00000000-0008-0000-0200-00004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193</xdr:row>
          <xdr:rowOff>0</xdr:rowOff>
        </xdr:from>
        <xdr:to>
          <xdr:col>4</xdr:col>
          <xdr:colOff>228600</xdr:colOff>
          <xdr:row>193</xdr:row>
          <xdr:rowOff>142875</xdr:rowOff>
        </xdr:to>
        <xdr:sp macro="" textlink="">
          <xdr:nvSpPr>
            <xdr:cNvPr id="3144" name="Check Box 72" hidden="1">
              <a:extLst>
                <a:ext uri="{63B3BB69-23CF-44E3-9099-C40C66FF867C}">
                  <a14:compatExt spid="_x0000_s3144"/>
                </a:ext>
                <a:ext uri="{FF2B5EF4-FFF2-40B4-BE49-F238E27FC236}">
                  <a16:creationId xmlns:a16="http://schemas.microsoft.com/office/drawing/2014/main" id="{00000000-0008-0000-0200-00004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194</xdr:row>
          <xdr:rowOff>0</xdr:rowOff>
        </xdr:from>
        <xdr:to>
          <xdr:col>4</xdr:col>
          <xdr:colOff>228600</xdr:colOff>
          <xdr:row>194</xdr:row>
          <xdr:rowOff>142875</xdr:rowOff>
        </xdr:to>
        <xdr:sp macro="" textlink="">
          <xdr:nvSpPr>
            <xdr:cNvPr id="3145" name="Check Box 73" hidden="1">
              <a:extLst>
                <a:ext uri="{63B3BB69-23CF-44E3-9099-C40C66FF867C}">
                  <a14:compatExt spid="_x0000_s3145"/>
                </a:ext>
                <a:ext uri="{FF2B5EF4-FFF2-40B4-BE49-F238E27FC236}">
                  <a16:creationId xmlns:a16="http://schemas.microsoft.com/office/drawing/2014/main" id="{00000000-0008-0000-0200-00004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195</xdr:row>
          <xdr:rowOff>0</xdr:rowOff>
        </xdr:from>
        <xdr:to>
          <xdr:col>4</xdr:col>
          <xdr:colOff>228600</xdr:colOff>
          <xdr:row>195</xdr:row>
          <xdr:rowOff>142875</xdr:rowOff>
        </xdr:to>
        <xdr:sp macro="" textlink="">
          <xdr:nvSpPr>
            <xdr:cNvPr id="3146" name="Check Box 74" hidden="1">
              <a:extLst>
                <a:ext uri="{63B3BB69-23CF-44E3-9099-C40C66FF867C}">
                  <a14:compatExt spid="_x0000_s3146"/>
                </a:ext>
                <a:ext uri="{FF2B5EF4-FFF2-40B4-BE49-F238E27FC236}">
                  <a16:creationId xmlns:a16="http://schemas.microsoft.com/office/drawing/2014/main" id="{00000000-0008-0000-0200-00004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196</xdr:row>
          <xdr:rowOff>0</xdr:rowOff>
        </xdr:from>
        <xdr:to>
          <xdr:col>4</xdr:col>
          <xdr:colOff>228600</xdr:colOff>
          <xdr:row>196</xdr:row>
          <xdr:rowOff>142875</xdr:rowOff>
        </xdr:to>
        <xdr:sp macro="" textlink="">
          <xdr:nvSpPr>
            <xdr:cNvPr id="3147" name="Check Box 75" hidden="1">
              <a:extLst>
                <a:ext uri="{63B3BB69-23CF-44E3-9099-C40C66FF867C}">
                  <a14:compatExt spid="_x0000_s3147"/>
                </a:ext>
                <a:ext uri="{FF2B5EF4-FFF2-40B4-BE49-F238E27FC236}">
                  <a16:creationId xmlns:a16="http://schemas.microsoft.com/office/drawing/2014/main" id="{00000000-0008-0000-0200-00004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197</xdr:row>
          <xdr:rowOff>0</xdr:rowOff>
        </xdr:from>
        <xdr:to>
          <xdr:col>4</xdr:col>
          <xdr:colOff>228600</xdr:colOff>
          <xdr:row>197</xdr:row>
          <xdr:rowOff>142875</xdr:rowOff>
        </xdr:to>
        <xdr:sp macro="" textlink="">
          <xdr:nvSpPr>
            <xdr:cNvPr id="3148" name="Check Box 76" hidden="1">
              <a:extLst>
                <a:ext uri="{63B3BB69-23CF-44E3-9099-C40C66FF867C}">
                  <a14:compatExt spid="_x0000_s3148"/>
                </a:ext>
                <a:ext uri="{FF2B5EF4-FFF2-40B4-BE49-F238E27FC236}">
                  <a16:creationId xmlns:a16="http://schemas.microsoft.com/office/drawing/2014/main" id="{00000000-0008-0000-0200-00004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198</xdr:row>
          <xdr:rowOff>0</xdr:rowOff>
        </xdr:from>
        <xdr:to>
          <xdr:col>4</xdr:col>
          <xdr:colOff>228600</xdr:colOff>
          <xdr:row>198</xdr:row>
          <xdr:rowOff>142875</xdr:rowOff>
        </xdr:to>
        <xdr:sp macro="" textlink="">
          <xdr:nvSpPr>
            <xdr:cNvPr id="3149" name="Check Box 77" hidden="1">
              <a:extLst>
                <a:ext uri="{63B3BB69-23CF-44E3-9099-C40C66FF867C}">
                  <a14:compatExt spid="_x0000_s3149"/>
                </a:ext>
                <a:ext uri="{FF2B5EF4-FFF2-40B4-BE49-F238E27FC236}">
                  <a16:creationId xmlns:a16="http://schemas.microsoft.com/office/drawing/2014/main" id="{00000000-0008-0000-0200-00004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199</xdr:row>
          <xdr:rowOff>0</xdr:rowOff>
        </xdr:from>
        <xdr:to>
          <xdr:col>4</xdr:col>
          <xdr:colOff>228600</xdr:colOff>
          <xdr:row>199</xdr:row>
          <xdr:rowOff>142875</xdr:rowOff>
        </xdr:to>
        <xdr:sp macro="" textlink="">
          <xdr:nvSpPr>
            <xdr:cNvPr id="3150" name="Check Box 78" hidden="1">
              <a:extLst>
                <a:ext uri="{63B3BB69-23CF-44E3-9099-C40C66FF867C}">
                  <a14:compatExt spid="_x0000_s3150"/>
                </a:ext>
                <a:ext uri="{FF2B5EF4-FFF2-40B4-BE49-F238E27FC236}">
                  <a16:creationId xmlns:a16="http://schemas.microsoft.com/office/drawing/2014/main" id="{00000000-0008-0000-0200-00004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200</xdr:row>
          <xdr:rowOff>0</xdr:rowOff>
        </xdr:from>
        <xdr:to>
          <xdr:col>4</xdr:col>
          <xdr:colOff>228600</xdr:colOff>
          <xdr:row>200</xdr:row>
          <xdr:rowOff>142875</xdr:rowOff>
        </xdr:to>
        <xdr:sp macro="" textlink="">
          <xdr:nvSpPr>
            <xdr:cNvPr id="3151" name="Check Box 79" hidden="1">
              <a:extLst>
                <a:ext uri="{63B3BB69-23CF-44E3-9099-C40C66FF867C}">
                  <a14:compatExt spid="_x0000_s3151"/>
                </a:ext>
                <a:ext uri="{FF2B5EF4-FFF2-40B4-BE49-F238E27FC236}">
                  <a16:creationId xmlns:a16="http://schemas.microsoft.com/office/drawing/2014/main" id="{00000000-0008-0000-0200-00004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201</xdr:row>
          <xdr:rowOff>0</xdr:rowOff>
        </xdr:from>
        <xdr:to>
          <xdr:col>4</xdr:col>
          <xdr:colOff>228600</xdr:colOff>
          <xdr:row>201</xdr:row>
          <xdr:rowOff>142875</xdr:rowOff>
        </xdr:to>
        <xdr:sp macro="" textlink="">
          <xdr:nvSpPr>
            <xdr:cNvPr id="3152" name="Check Box 80" hidden="1">
              <a:extLst>
                <a:ext uri="{63B3BB69-23CF-44E3-9099-C40C66FF867C}">
                  <a14:compatExt spid="_x0000_s3152"/>
                </a:ext>
                <a:ext uri="{FF2B5EF4-FFF2-40B4-BE49-F238E27FC236}">
                  <a16:creationId xmlns:a16="http://schemas.microsoft.com/office/drawing/2014/main" id="{00000000-0008-0000-0200-00005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202</xdr:row>
          <xdr:rowOff>0</xdr:rowOff>
        </xdr:from>
        <xdr:to>
          <xdr:col>4</xdr:col>
          <xdr:colOff>228600</xdr:colOff>
          <xdr:row>202</xdr:row>
          <xdr:rowOff>142875</xdr:rowOff>
        </xdr:to>
        <xdr:sp macro="" textlink="">
          <xdr:nvSpPr>
            <xdr:cNvPr id="3153" name="Check Box 81" hidden="1">
              <a:extLst>
                <a:ext uri="{63B3BB69-23CF-44E3-9099-C40C66FF867C}">
                  <a14:compatExt spid="_x0000_s3153"/>
                </a:ext>
                <a:ext uri="{FF2B5EF4-FFF2-40B4-BE49-F238E27FC236}">
                  <a16:creationId xmlns:a16="http://schemas.microsoft.com/office/drawing/2014/main" id="{00000000-0008-0000-0200-00005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203</xdr:row>
          <xdr:rowOff>0</xdr:rowOff>
        </xdr:from>
        <xdr:to>
          <xdr:col>4</xdr:col>
          <xdr:colOff>228600</xdr:colOff>
          <xdr:row>203</xdr:row>
          <xdr:rowOff>142875</xdr:rowOff>
        </xdr:to>
        <xdr:sp macro="" textlink="">
          <xdr:nvSpPr>
            <xdr:cNvPr id="3154" name="Check Box 82" hidden="1">
              <a:extLst>
                <a:ext uri="{63B3BB69-23CF-44E3-9099-C40C66FF867C}">
                  <a14:compatExt spid="_x0000_s3154"/>
                </a:ext>
                <a:ext uri="{FF2B5EF4-FFF2-40B4-BE49-F238E27FC236}">
                  <a16:creationId xmlns:a16="http://schemas.microsoft.com/office/drawing/2014/main" id="{00000000-0008-0000-0200-00005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262</xdr:row>
          <xdr:rowOff>0</xdr:rowOff>
        </xdr:from>
        <xdr:to>
          <xdr:col>4</xdr:col>
          <xdr:colOff>228600</xdr:colOff>
          <xdr:row>262</xdr:row>
          <xdr:rowOff>142875</xdr:rowOff>
        </xdr:to>
        <xdr:sp macro="" textlink="">
          <xdr:nvSpPr>
            <xdr:cNvPr id="3155" name="Check Box 83" hidden="1">
              <a:extLst>
                <a:ext uri="{63B3BB69-23CF-44E3-9099-C40C66FF867C}">
                  <a14:compatExt spid="_x0000_s3155"/>
                </a:ext>
                <a:ext uri="{FF2B5EF4-FFF2-40B4-BE49-F238E27FC236}">
                  <a16:creationId xmlns:a16="http://schemas.microsoft.com/office/drawing/2014/main" id="{00000000-0008-0000-0200-00005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263</xdr:row>
          <xdr:rowOff>0</xdr:rowOff>
        </xdr:from>
        <xdr:to>
          <xdr:col>4</xdr:col>
          <xdr:colOff>228600</xdr:colOff>
          <xdr:row>263</xdr:row>
          <xdr:rowOff>142875</xdr:rowOff>
        </xdr:to>
        <xdr:sp macro="" textlink="">
          <xdr:nvSpPr>
            <xdr:cNvPr id="3156" name="Check Box 84" hidden="1">
              <a:extLst>
                <a:ext uri="{63B3BB69-23CF-44E3-9099-C40C66FF867C}">
                  <a14:compatExt spid="_x0000_s3156"/>
                </a:ext>
                <a:ext uri="{FF2B5EF4-FFF2-40B4-BE49-F238E27FC236}">
                  <a16:creationId xmlns:a16="http://schemas.microsoft.com/office/drawing/2014/main" id="{00000000-0008-0000-0200-00005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264</xdr:row>
          <xdr:rowOff>0</xdr:rowOff>
        </xdr:from>
        <xdr:to>
          <xdr:col>4</xdr:col>
          <xdr:colOff>228600</xdr:colOff>
          <xdr:row>264</xdr:row>
          <xdr:rowOff>142875</xdr:rowOff>
        </xdr:to>
        <xdr:sp macro="" textlink="">
          <xdr:nvSpPr>
            <xdr:cNvPr id="3157" name="Check Box 85" hidden="1">
              <a:extLst>
                <a:ext uri="{63B3BB69-23CF-44E3-9099-C40C66FF867C}">
                  <a14:compatExt spid="_x0000_s3157"/>
                </a:ext>
                <a:ext uri="{FF2B5EF4-FFF2-40B4-BE49-F238E27FC236}">
                  <a16:creationId xmlns:a16="http://schemas.microsoft.com/office/drawing/2014/main" id="{00000000-0008-0000-0200-00005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265</xdr:row>
          <xdr:rowOff>0</xdr:rowOff>
        </xdr:from>
        <xdr:to>
          <xdr:col>4</xdr:col>
          <xdr:colOff>228600</xdr:colOff>
          <xdr:row>265</xdr:row>
          <xdr:rowOff>142875</xdr:rowOff>
        </xdr:to>
        <xdr:sp macro="" textlink="">
          <xdr:nvSpPr>
            <xdr:cNvPr id="3158" name="Check Box 86" hidden="1">
              <a:extLst>
                <a:ext uri="{63B3BB69-23CF-44E3-9099-C40C66FF867C}">
                  <a14:compatExt spid="_x0000_s3158"/>
                </a:ext>
                <a:ext uri="{FF2B5EF4-FFF2-40B4-BE49-F238E27FC236}">
                  <a16:creationId xmlns:a16="http://schemas.microsoft.com/office/drawing/2014/main" id="{00000000-0008-0000-0200-00005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266</xdr:row>
          <xdr:rowOff>0</xdr:rowOff>
        </xdr:from>
        <xdr:to>
          <xdr:col>4</xdr:col>
          <xdr:colOff>228600</xdr:colOff>
          <xdr:row>266</xdr:row>
          <xdr:rowOff>142875</xdr:rowOff>
        </xdr:to>
        <xdr:sp macro="" textlink="">
          <xdr:nvSpPr>
            <xdr:cNvPr id="3159" name="Check Box 87" hidden="1">
              <a:extLst>
                <a:ext uri="{63B3BB69-23CF-44E3-9099-C40C66FF867C}">
                  <a14:compatExt spid="_x0000_s3159"/>
                </a:ext>
                <a:ext uri="{FF2B5EF4-FFF2-40B4-BE49-F238E27FC236}">
                  <a16:creationId xmlns:a16="http://schemas.microsoft.com/office/drawing/2014/main" id="{00000000-0008-0000-0200-00005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267</xdr:row>
          <xdr:rowOff>0</xdr:rowOff>
        </xdr:from>
        <xdr:to>
          <xdr:col>4</xdr:col>
          <xdr:colOff>228600</xdr:colOff>
          <xdr:row>267</xdr:row>
          <xdr:rowOff>142875</xdr:rowOff>
        </xdr:to>
        <xdr:sp macro="" textlink="">
          <xdr:nvSpPr>
            <xdr:cNvPr id="3160" name="Check Box 88" hidden="1">
              <a:extLst>
                <a:ext uri="{63B3BB69-23CF-44E3-9099-C40C66FF867C}">
                  <a14:compatExt spid="_x0000_s3160"/>
                </a:ext>
                <a:ext uri="{FF2B5EF4-FFF2-40B4-BE49-F238E27FC236}">
                  <a16:creationId xmlns:a16="http://schemas.microsoft.com/office/drawing/2014/main" id="{00000000-0008-0000-0200-00005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38</xdr:row>
          <xdr:rowOff>0</xdr:rowOff>
        </xdr:from>
        <xdr:to>
          <xdr:col>4</xdr:col>
          <xdr:colOff>228600</xdr:colOff>
          <xdr:row>38</xdr:row>
          <xdr:rowOff>142875</xdr:rowOff>
        </xdr:to>
        <xdr:sp macro="" textlink="">
          <xdr:nvSpPr>
            <xdr:cNvPr id="3161" name="Check Box 89" hidden="1">
              <a:extLst>
                <a:ext uri="{63B3BB69-23CF-44E3-9099-C40C66FF867C}">
                  <a14:compatExt spid="_x0000_s3161"/>
                </a:ext>
                <a:ext uri="{FF2B5EF4-FFF2-40B4-BE49-F238E27FC236}">
                  <a16:creationId xmlns:a16="http://schemas.microsoft.com/office/drawing/2014/main" id="{00000000-0008-0000-0200-00005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39</xdr:row>
          <xdr:rowOff>0</xdr:rowOff>
        </xdr:from>
        <xdr:to>
          <xdr:col>4</xdr:col>
          <xdr:colOff>228600</xdr:colOff>
          <xdr:row>39</xdr:row>
          <xdr:rowOff>142875</xdr:rowOff>
        </xdr:to>
        <xdr:sp macro="" textlink="">
          <xdr:nvSpPr>
            <xdr:cNvPr id="3162" name="Check Box 90" hidden="1">
              <a:extLst>
                <a:ext uri="{63B3BB69-23CF-44E3-9099-C40C66FF867C}">
                  <a14:compatExt spid="_x0000_s3162"/>
                </a:ext>
                <a:ext uri="{FF2B5EF4-FFF2-40B4-BE49-F238E27FC236}">
                  <a16:creationId xmlns:a16="http://schemas.microsoft.com/office/drawing/2014/main" id="{00000000-0008-0000-0200-00005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40</xdr:row>
          <xdr:rowOff>0</xdr:rowOff>
        </xdr:from>
        <xdr:to>
          <xdr:col>4</xdr:col>
          <xdr:colOff>228600</xdr:colOff>
          <xdr:row>40</xdr:row>
          <xdr:rowOff>142875</xdr:rowOff>
        </xdr:to>
        <xdr:sp macro="" textlink="">
          <xdr:nvSpPr>
            <xdr:cNvPr id="3163" name="Check Box 91" hidden="1">
              <a:extLst>
                <a:ext uri="{63B3BB69-23CF-44E3-9099-C40C66FF867C}">
                  <a14:compatExt spid="_x0000_s3163"/>
                </a:ext>
                <a:ext uri="{FF2B5EF4-FFF2-40B4-BE49-F238E27FC236}">
                  <a16:creationId xmlns:a16="http://schemas.microsoft.com/office/drawing/2014/main" id="{00000000-0008-0000-0200-00005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41</xdr:row>
          <xdr:rowOff>0</xdr:rowOff>
        </xdr:from>
        <xdr:to>
          <xdr:col>4</xdr:col>
          <xdr:colOff>228600</xdr:colOff>
          <xdr:row>41</xdr:row>
          <xdr:rowOff>142875</xdr:rowOff>
        </xdr:to>
        <xdr:sp macro="" textlink="">
          <xdr:nvSpPr>
            <xdr:cNvPr id="3164" name="Check Box 92" hidden="1">
              <a:extLst>
                <a:ext uri="{63B3BB69-23CF-44E3-9099-C40C66FF867C}">
                  <a14:compatExt spid="_x0000_s3164"/>
                </a:ext>
                <a:ext uri="{FF2B5EF4-FFF2-40B4-BE49-F238E27FC236}">
                  <a16:creationId xmlns:a16="http://schemas.microsoft.com/office/drawing/2014/main" id="{00000000-0008-0000-0200-00005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42</xdr:row>
          <xdr:rowOff>0</xdr:rowOff>
        </xdr:from>
        <xdr:to>
          <xdr:col>4</xdr:col>
          <xdr:colOff>228600</xdr:colOff>
          <xdr:row>42</xdr:row>
          <xdr:rowOff>142875</xdr:rowOff>
        </xdr:to>
        <xdr:sp macro="" textlink="">
          <xdr:nvSpPr>
            <xdr:cNvPr id="3165" name="Check Box 93" hidden="1">
              <a:extLst>
                <a:ext uri="{63B3BB69-23CF-44E3-9099-C40C66FF867C}">
                  <a14:compatExt spid="_x0000_s3165"/>
                </a:ext>
                <a:ext uri="{FF2B5EF4-FFF2-40B4-BE49-F238E27FC236}">
                  <a16:creationId xmlns:a16="http://schemas.microsoft.com/office/drawing/2014/main" id="{00000000-0008-0000-0200-00005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43</xdr:row>
          <xdr:rowOff>0</xdr:rowOff>
        </xdr:from>
        <xdr:to>
          <xdr:col>4</xdr:col>
          <xdr:colOff>228600</xdr:colOff>
          <xdr:row>43</xdr:row>
          <xdr:rowOff>142875</xdr:rowOff>
        </xdr:to>
        <xdr:sp macro="" textlink="">
          <xdr:nvSpPr>
            <xdr:cNvPr id="3166" name="Check Box 94" hidden="1">
              <a:extLst>
                <a:ext uri="{63B3BB69-23CF-44E3-9099-C40C66FF867C}">
                  <a14:compatExt spid="_x0000_s3166"/>
                </a:ext>
                <a:ext uri="{FF2B5EF4-FFF2-40B4-BE49-F238E27FC236}">
                  <a16:creationId xmlns:a16="http://schemas.microsoft.com/office/drawing/2014/main" id="{00000000-0008-0000-0200-00005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44</xdr:row>
          <xdr:rowOff>0</xdr:rowOff>
        </xdr:from>
        <xdr:to>
          <xdr:col>4</xdr:col>
          <xdr:colOff>228600</xdr:colOff>
          <xdr:row>44</xdr:row>
          <xdr:rowOff>142875</xdr:rowOff>
        </xdr:to>
        <xdr:sp macro="" textlink="">
          <xdr:nvSpPr>
            <xdr:cNvPr id="3167" name="Check Box 95" hidden="1">
              <a:extLst>
                <a:ext uri="{63B3BB69-23CF-44E3-9099-C40C66FF867C}">
                  <a14:compatExt spid="_x0000_s3167"/>
                </a:ext>
                <a:ext uri="{FF2B5EF4-FFF2-40B4-BE49-F238E27FC236}">
                  <a16:creationId xmlns:a16="http://schemas.microsoft.com/office/drawing/2014/main" id="{00000000-0008-0000-0200-00005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45</xdr:row>
          <xdr:rowOff>0</xdr:rowOff>
        </xdr:from>
        <xdr:to>
          <xdr:col>4</xdr:col>
          <xdr:colOff>228600</xdr:colOff>
          <xdr:row>45</xdr:row>
          <xdr:rowOff>142875</xdr:rowOff>
        </xdr:to>
        <xdr:sp macro="" textlink="">
          <xdr:nvSpPr>
            <xdr:cNvPr id="3168" name="Check Box 96" hidden="1">
              <a:extLst>
                <a:ext uri="{63B3BB69-23CF-44E3-9099-C40C66FF867C}">
                  <a14:compatExt spid="_x0000_s3168"/>
                </a:ext>
                <a:ext uri="{FF2B5EF4-FFF2-40B4-BE49-F238E27FC236}">
                  <a16:creationId xmlns:a16="http://schemas.microsoft.com/office/drawing/2014/main" id="{00000000-0008-0000-0200-00006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46</xdr:row>
          <xdr:rowOff>0</xdr:rowOff>
        </xdr:from>
        <xdr:to>
          <xdr:col>4</xdr:col>
          <xdr:colOff>228600</xdr:colOff>
          <xdr:row>46</xdr:row>
          <xdr:rowOff>142875</xdr:rowOff>
        </xdr:to>
        <xdr:sp macro="" textlink="">
          <xdr:nvSpPr>
            <xdr:cNvPr id="3169" name="Check Box 97" hidden="1">
              <a:extLst>
                <a:ext uri="{63B3BB69-23CF-44E3-9099-C40C66FF867C}">
                  <a14:compatExt spid="_x0000_s3169"/>
                </a:ext>
                <a:ext uri="{FF2B5EF4-FFF2-40B4-BE49-F238E27FC236}">
                  <a16:creationId xmlns:a16="http://schemas.microsoft.com/office/drawing/2014/main" id="{00000000-0008-0000-0200-00006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47</xdr:row>
          <xdr:rowOff>0</xdr:rowOff>
        </xdr:from>
        <xdr:to>
          <xdr:col>4</xdr:col>
          <xdr:colOff>228600</xdr:colOff>
          <xdr:row>47</xdr:row>
          <xdr:rowOff>142875</xdr:rowOff>
        </xdr:to>
        <xdr:sp macro="" textlink="">
          <xdr:nvSpPr>
            <xdr:cNvPr id="3170" name="Check Box 98" hidden="1">
              <a:extLst>
                <a:ext uri="{63B3BB69-23CF-44E3-9099-C40C66FF867C}">
                  <a14:compatExt spid="_x0000_s3170"/>
                </a:ext>
                <a:ext uri="{FF2B5EF4-FFF2-40B4-BE49-F238E27FC236}">
                  <a16:creationId xmlns:a16="http://schemas.microsoft.com/office/drawing/2014/main" id="{00000000-0008-0000-0200-00006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48</xdr:row>
          <xdr:rowOff>0</xdr:rowOff>
        </xdr:from>
        <xdr:to>
          <xdr:col>4</xdr:col>
          <xdr:colOff>228600</xdr:colOff>
          <xdr:row>48</xdr:row>
          <xdr:rowOff>142875</xdr:rowOff>
        </xdr:to>
        <xdr:sp macro="" textlink="">
          <xdr:nvSpPr>
            <xdr:cNvPr id="3171" name="Check Box 99" hidden="1">
              <a:extLst>
                <a:ext uri="{63B3BB69-23CF-44E3-9099-C40C66FF867C}">
                  <a14:compatExt spid="_x0000_s3171"/>
                </a:ext>
                <a:ext uri="{FF2B5EF4-FFF2-40B4-BE49-F238E27FC236}">
                  <a16:creationId xmlns:a16="http://schemas.microsoft.com/office/drawing/2014/main" id="{00000000-0008-0000-0200-00006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49</xdr:row>
          <xdr:rowOff>0</xdr:rowOff>
        </xdr:from>
        <xdr:to>
          <xdr:col>4</xdr:col>
          <xdr:colOff>228600</xdr:colOff>
          <xdr:row>49</xdr:row>
          <xdr:rowOff>142875</xdr:rowOff>
        </xdr:to>
        <xdr:sp macro="" textlink="">
          <xdr:nvSpPr>
            <xdr:cNvPr id="3172" name="Check Box 100" hidden="1">
              <a:extLst>
                <a:ext uri="{63B3BB69-23CF-44E3-9099-C40C66FF867C}">
                  <a14:compatExt spid="_x0000_s3172"/>
                </a:ext>
                <a:ext uri="{FF2B5EF4-FFF2-40B4-BE49-F238E27FC236}">
                  <a16:creationId xmlns:a16="http://schemas.microsoft.com/office/drawing/2014/main" id="{00000000-0008-0000-0200-00006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56</xdr:row>
          <xdr:rowOff>0</xdr:rowOff>
        </xdr:from>
        <xdr:to>
          <xdr:col>4</xdr:col>
          <xdr:colOff>228600</xdr:colOff>
          <xdr:row>56</xdr:row>
          <xdr:rowOff>142875</xdr:rowOff>
        </xdr:to>
        <xdr:sp macro="" textlink="">
          <xdr:nvSpPr>
            <xdr:cNvPr id="3173" name="Check Box 101" hidden="1">
              <a:extLst>
                <a:ext uri="{63B3BB69-23CF-44E3-9099-C40C66FF867C}">
                  <a14:compatExt spid="_x0000_s3173"/>
                </a:ext>
                <a:ext uri="{FF2B5EF4-FFF2-40B4-BE49-F238E27FC236}">
                  <a16:creationId xmlns:a16="http://schemas.microsoft.com/office/drawing/2014/main" id="{00000000-0008-0000-0200-00006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57</xdr:row>
          <xdr:rowOff>0</xdr:rowOff>
        </xdr:from>
        <xdr:to>
          <xdr:col>4</xdr:col>
          <xdr:colOff>228600</xdr:colOff>
          <xdr:row>57</xdr:row>
          <xdr:rowOff>142875</xdr:rowOff>
        </xdr:to>
        <xdr:sp macro="" textlink="">
          <xdr:nvSpPr>
            <xdr:cNvPr id="3174" name="Check Box 102" hidden="1">
              <a:extLst>
                <a:ext uri="{63B3BB69-23CF-44E3-9099-C40C66FF867C}">
                  <a14:compatExt spid="_x0000_s3174"/>
                </a:ext>
                <a:ext uri="{FF2B5EF4-FFF2-40B4-BE49-F238E27FC236}">
                  <a16:creationId xmlns:a16="http://schemas.microsoft.com/office/drawing/2014/main" id="{00000000-0008-0000-0200-00006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58</xdr:row>
          <xdr:rowOff>0</xdr:rowOff>
        </xdr:from>
        <xdr:to>
          <xdr:col>4</xdr:col>
          <xdr:colOff>228600</xdr:colOff>
          <xdr:row>58</xdr:row>
          <xdr:rowOff>142875</xdr:rowOff>
        </xdr:to>
        <xdr:sp macro="" textlink="">
          <xdr:nvSpPr>
            <xdr:cNvPr id="3175" name="Check Box 103" hidden="1">
              <a:extLst>
                <a:ext uri="{63B3BB69-23CF-44E3-9099-C40C66FF867C}">
                  <a14:compatExt spid="_x0000_s3175"/>
                </a:ext>
                <a:ext uri="{FF2B5EF4-FFF2-40B4-BE49-F238E27FC236}">
                  <a16:creationId xmlns:a16="http://schemas.microsoft.com/office/drawing/2014/main" id="{00000000-0008-0000-0200-00006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59</xdr:row>
          <xdr:rowOff>0</xdr:rowOff>
        </xdr:from>
        <xdr:to>
          <xdr:col>4</xdr:col>
          <xdr:colOff>228600</xdr:colOff>
          <xdr:row>59</xdr:row>
          <xdr:rowOff>142875</xdr:rowOff>
        </xdr:to>
        <xdr:sp macro="" textlink="">
          <xdr:nvSpPr>
            <xdr:cNvPr id="3176" name="Check Box 104" hidden="1">
              <a:extLst>
                <a:ext uri="{63B3BB69-23CF-44E3-9099-C40C66FF867C}">
                  <a14:compatExt spid="_x0000_s3176"/>
                </a:ext>
                <a:ext uri="{FF2B5EF4-FFF2-40B4-BE49-F238E27FC236}">
                  <a16:creationId xmlns:a16="http://schemas.microsoft.com/office/drawing/2014/main" id="{00000000-0008-0000-0200-00006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60</xdr:row>
          <xdr:rowOff>0</xdr:rowOff>
        </xdr:from>
        <xdr:to>
          <xdr:col>4</xdr:col>
          <xdr:colOff>228600</xdr:colOff>
          <xdr:row>60</xdr:row>
          <xdr:rowOff>142875</xdr:rowOff>
        </xdr:to>
        <xdr:sp macro="" textlink="">
          <xdr:nvSpPr>
            <xdr:cNvPr id="3177" name="Check Box 105" hidden="1">
              <a:extLst>
                <a:ext uri="{63B3BB69-23CF-44E3-9099-C40C66FF867C}">
                  <a14:compatExt spid="_x0000_s3177"/>
                </a:ext>
                <a:ext uri="{FF2B5EF4-FFF2-40B4-BE49-F238E27FC236}">
                  <a16:creationId xmlns:a16="http://schemas.microsoft.com/office/drawing/2014/main" id="{00000000-0008-0000-0200-00006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61</xdr:row>
          <xdr:rowOff>0</xdr:rowOff>
        </xdr:from>
        <xdr:to>
          <xdr:col>4</xdr:col>
          <xdr:colOff>228600</xdr:colOff>
          <xdr:row>61</xdr:row>
          <xdr:rowOff>142875</xdr:rowOff>
        </xdr:to>
        <xdr:sp macro="" textlink="">
          <xdr:nvSpPr>
            <xdr:cNvPr id="3178" name="Check Box 106" hidden="1">
              <a:extLst>
                <a:ext uri="{63B3BB69-23CF-44E3-9099-C40C66FF867C}">
                  <a14:compatExt spid="_x0000_s3178"/>
                </a:ext>
                <a:ext uri="{FF2B5EF4-FFF2-40B4-BE49-F238E27FC236}">
                  <a16:creationId xmlns:a16="http://schemas.microsoft.com/office/drawing/2014/main" id="{00000000-0008-0000-0200-00006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62</xdr:row>
          <xdr:rowOff>0</xdr:rowOff>
        </xdr:from>
        <xdr:to>
          <xdr:col>4</xdr:col>
          <xdr:colOff>228600</xdr:colOff>
          <xdr:row>62</xdr:row>
          <xdr:rowOff>142875</xdr:rowOff>
        </xdr:to>
        <xdr:sp macro="" textlink="">
          <xdr:nvSpPr>
            <xdr:cNvPr id="3179" name="Check Box 107" hidden="1">
              <a:extLst>
                <a:ext uri="{63B3BB69-23CF-44E3-9099-C40C66FF867C}">
                  <a14:compatExt spid="_x0000_s3179"/>
                </a:ext>
                <a:ext uri="{FF2B5EF4-FFF2-40B4-BE49-F238E27FC236}">
                  <a16:creationId xmlns:a16="http://schemas.microsoft.com/office/drawing/2014/main" id="{00000000-0008-0000-0200-00006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63</xdr:row>
          <xdr:rowOff>0</xdr:rowOff>
        </xdr:from>
        <xdr:to>
          <xdr:col>4</xdr:col>
          <xdr:colOff>228600</xdr:colOff>
          <xdr:row>63</xdr:row>
          <xdr:rowOff>142875</xdr:rowOff>
        </xdr:to>
        <xdr:sp macro="" textlink="">
          <xdr:nvSpPr>
            <xdr:cNvPr id="3180" name="Check Box 108" hidden="1">
              <a:extLst>
                <a:ext uri="{63B3BB69-23CF-44E3-9099-C40C66FF867C}">
                  <a14:compatExt spid="_x0000_s3180"/>
                </a:ext>
                <a:ext uri="{FF2B5EF4-FFF2-40B4-BE49-F238E27FC236}">
                  <a16:creationId xmlns:a16="http://schemas.microsoft.com/office/drawing/2014/main" id="{00000000-0008-0000-0200-00006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64</xdr:row>
          <xdr:rowOff>0</xdr:rowOff>
        </xdr:from>
        <xdr:to>
          <xdr:col>4</xdr:col>
          <xdr:colOff>228600</xdr:colOff>
          <xdr:row>64</xdr:row>
          <xdr:rowOff>142875</xdr:rowOff>
        </xdr:to>
        <xdr:sp macro="" textlink="">
          <xdr:nvSpPr>
            <xdr:cNvPr id="3181" name="Check Box 109" hidden="1">
              <a:extLst>
                <a:ext uri="{63B3BB69-23CF-44E3-9099-C40C66FF867C}">
                  <a14:compatExt spid="_x0000_s3181"/>
                </a:ext>
                <a:ext uri="{FF2B5EF4-FFF2-40B4-BE49-F238E27FC236}">
                  <a16:creationId xmlns:a16="http://schemas.microsoft.com/office/drawing/2014/main" id="{00000000-0008-0000-0200-00006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65</xdr:row>
          <xdr:rowOff>0</xdr:rowOff>
        </xdr:from>
        <xdr:to>
          <xdr:col>4</xdr:col>
          <xdr:colOff>228600</xdr:colOff>
          <xdr:row>65</xdr:row>
          <xdr:rowOff>142875</xdr:rowOff>
        </xdr:to>
        <xdr:sp macro="" textlink="">
          <xdr:nvSpPr>
            <xdr:cNvPr id="3182" name="Check Box 110" hidden="1">
              <a:extLst>
                <a:ext uri="{63B3BB69-23CF-44E3-9099-C40C66FF867C}">
                  <a14:compatExt spid="_x0000_s3182"/>
                </a:ext>
                <a:ext uri="{FF2B5EF4-FFF2-40B4-BE49-F238E27FC236}">
                  <a16:creationId xmlns:a16="http://schemas.microsoft.com/office/drawing/2014/main" id="{00000000-0008-0000-0200-00006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66</xdr:row>
          <xdr:rowOff>0</xdr:rowOff>
        </xdr:from>
        <xdr:to>
          <xdr:col>4</xdr:col>
          <xdr:colOff>228600</xdr:colOff>
          <xdr:row>66</xdr:row>
          <xdr:rowOff>142875</xdr:rowOff>
        </xdr:to>
        <xdr:sp macro="" textlink="">
          <xdr:nvSpPr>
            <xdr:cNvPr id="3183" name="Check Box 111" hidden="1">
              <a:extLst>
                <a:ext uri="{63B3BB69-23CF-44E3-9099-C40C66FF867C}">
                  <a14:compatExt spid="_x0000_s3183"/>
                </a:ext>
                <a:ext uri="{FF2B5EF4-FFF2-40B4-BE49-F238E27FC236}">
                  <a16:creationId xmlns:a16="http://schemas.microsoft.com/office/drawing/2014/main" id="{00000000-0008-0000-0200-00006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67</xdr:row>
          <xdr:rowOff>0</xdr:rowOff>
        </xdr:from>
        <xdr:to>
          <xdr:col>4</xdr:col>
          <xdr:colOff>228600</xdr:colOff>
          <xdr:row>67</xdr:row>
          <xdr:rowOff>142875</xdr:rowOff>
        </xdr:to>
        <xdr:sp macro="" textlink="">
          <xdr:nvSpPr>
            <xdr:cNvPr id="3184" name="Check Box 112" hidden="1">
              <a:extLst>
                <a:ext uri="{63B3BB69-23CF-44E3-9099-C40C66FF867C}">
                  <a14:compatExt spid="_x0000_s3184"/>
                </a:ext>
                <a:ext uri="{FF2B5EF4-FFF2-40B4-BE49-F238E27FC236}">
                  <a16:creationId xmlns:a16="http://schemas.microsoft.com/office/drawing/2014/main" id="{00000000-0008-0000-0200-00007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96</xdr:row>
          <xdr:rowOff>0</xdr:rowOff>
        </xdr:from>
        <xdr:to>
          <xdr:col>4</xdr:col>
          <xdr:colOff>228600</xdr:colOff>
          <xdr:row>96</xdr:row>
          <xdr:rowOff>142875</xdr:rowOff>
        </xdr:to>
        <xdr:sp macro="" textlink="">
          <xdr:nvSpPr>
            <xdr:cNvPr id="3185" name="Check Box 113" hidden="1">
              <a:extLst>
                <a:ext uri="{63B3BB69-23CF-44E3-9099-C40C66FF867C}">
                  <a14:compatExt spid="_x0000_s3185"/>
                </a:ext>
                <a:ext uri="{FF2B5EF4-FFF2-40B4-BE49-F238E27FC236}">
                  <a16:creationId xmlns:a16="http://schemas.microsoft.com/office/drawing/2014/main" id="{00000000-0008-0000-0200-00007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97</xdr:row>
          <xdr:rowOff>0</xdr:rowOff>
        </xdr:from>
        <xdr:to>
          <xdr:col>4</xdr:col>
          <xdr:colOff>228600</xdr:colOff>
          <xdr:row>97</xdr:row>
          <xdr:rowOff>142875</xdr:rowOff>
        </xdr:to>
        <xdr:sp macro="" textlink="">
          <xdr:nvSpPr>
            <xdr:cNvPr id="3186" name="Check Box 114" hidden="1">
              <a:extLst>
                <a:ext uri="{63B3BB69-23CF-44E3-9099-C40C66FF867C}">
                  <a14:compatExt spid="_x0000_s3186"/>
                </a:ext>
                <a:ext uri="{FF2B5EF4-FFF2-40B4-BE49-F238E27FC236}">
                  <a16:creationId xmlns:a16="http://schemas.microsoft.com/office/drawing/2014/main" id="{00000000-0008-0000-0200-00007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98</xdr:row>
          <xdr:rowOff>0</xdr:rowOff>
        </xdr:from>
        <xdr:to>
          <xdr:col>4</xdr:col>
          <xdr:colOff>228600</xdr:colOff>
          <xdr:row>98</xdr:row>
          <xdr:rowOff>142875</xdr:rowOff>
        </xdr:to>
        <xdr:sp macro="" textlink="">
          <xdr:nvSpPr>
            <xdr:cNvPr id="3187" name="Check Box 115" hidden="1">
              <a:extLst>
                <a:ext uri="{63B3BB69-23CF-44E3-9099-C40C66FF867C}">
                  <a14:compatExt spid="_x0000_s3187"/>
                </a:ext>
                <a:ext uri="{FF2B5EF4-FFF2-40B4-BE49-F238E27FC236}">
                  <a16:creationId xmlns:a16="http://schemas.microsoft.com/office/drawing/2014/main" id="{00000000-0008-0000-0200-00007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99</xdr:row>
          <xdr:rowOff>0</xdr:rowOff>
        </xdr:from>
        <xdr:to>
          <xdr:col>4</xdr:col>
          <xdr:colOff>228600</xdr:colOff>
          <xdr:row>99</xdr:row>
          <xdr:rowOff>142875</xdr:rowOff>
        </xdr:to>
        <xdr:sp macro="" textlink="">
          <xdr:nvSpPr>
            <xdr:cNvPr id="3188" name="Check Box 116" hidden="1">
              <a:extLst>
                <a:ext uri="{63B3BB69-23CF-44E3-9099-C40C66FF867C}">
                  <a14:compatExt spid="_x0000_s3188"/>
                </a:ext>
                <a:ext uri="{FF2B5EF4-FFF2-40B4-BE49-F238E27FC236}">
                  <a16:creationId xmlns:a16="http://schemas.microsoft.com/office/drawing/2014/main" id="{00000000-0008-0000-0200-00007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100</xdr:row>
          <xdr:rowOff>0</xdr:rowOff>
        </xdr:from>
        <xdr:to>
          <xdr:col>4</xdr:col>
          <xdr:colOff>228600</xdr:colOff>
          <xdr:row>100</xdr:row>
          <xdr:rowOff>142875</xdr:rowOff>
        </xdr:to>
        <xdr:sp macro="" textlink="">
          <xdr:nvSpPr>
            <xdr:cNvPr id="3189" name="Check Box 117" hidden="1">
              <a:extLst>
                <a:ext uri="{63B3BB69-23CF-44E3-9099-C40C66FF867C}">
                  <a14:compatExt spid="_x0000_s3189"/>
                </a:ext>
                <a:ext uri="{FF2B5EF4-FFF2-40B4-BE49-F238E27FC236}">
                  <a16:creationId xmlns:a16="http://schemas.microsoft.com/office/drawing/2014/main" id="{00000000-0008-0000-0200-00007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101</xdr:row>
          <xdr:rowOff>0</xdr:rowOff>
        </xdr:from>
        <xdr:to>
          <xdr:col>4</xdr:col>
          <xdr:colOff>228600</xdr:colOff>
          <xdr:row>101</xdr:row>
          <xdr:rowOff>142875</xdr:rowOff>
        </xdr:to>
        <xdr:sp macro="" textlink="">
          <xdr:nvSpPr>
            <xdr:cNvPr id="3190" name="Check Box 118" hidden="1">
              <a:extLst>
                <a:ext uri="{63B3BB69-23CF-44E3-9099-C40C66FF867C}">
                  <a14:compatExt spid="_x0000_s3190"/>
                </a:ext>
                <a:ext uri="{FF2B5EF4-FFF2-40B4-BE49-F238E27FC236}">
                  <a16:creationId xmlns:a16="http://schemas.microsoft.com/office/drawing/2014/main" id="{00000000-0008-0000-0200-00007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102</xdr:row>
          <xdr:rowOff>0</xdr:rowOff>
        </xdr:from>
        <xdr:to>
          <xdr:col>4</xdr:col>
          <xdr:colOff>228600</xdr:colOff>
          <xdr:row>102</xdr:row>
          <xdr:rowOff>142875</xdr:rowOff>
        </xdr:to>
        <xdr:sp macro="" textlink="">
          <xdr:nvSpPr>
            <xdr:cNvPr id="3191" name="Check Box 119" hidden="1">
              <a:extLst>
                <a:ext uri="{63B3BB69-23CF-44E3-9099-C40C66FF867C}">
                  <a14:compatExt spid="_x0000_s3191"/>
                </a:ext>
                <a:ext uri="{FF2B5EF4-FFF2-40B4-BE49-F238E27FC236}">
                  <a16:creationId xmlns:a16="http://schemas.microsoft.com/office/drawing/2014/main" id="{00000000-0008-0000-0200-00007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103</xdr:row>
          <xdr:rowOff>0</xdr:rowOff>
        </xdr:from>
        <xdr:to>
          <xdr:col>4</xdr:col>
          <xdr:colOff>228600</xdr:colOff>
          <xdr:row>103</xdr:row>
          <xdr:rowOff>142875</xdr:rowOff>
        </xdr:to>
        <xdr:sp macro="" textlink="">
          <xdr:nvSpPr>
            <xdr:cNvPr id="3192" name="Check Box 120" hidden="1">
              <a:extLst>
                <a:ext uri="{63B3BB69-23CF-44E3-9099-C40C66FF867C}">
                  <a14:compatExt spid="_x0000_s3192"/>
                </a:ext>
                <a:ext uri="{FF2B5EF4-FFF2-40B4-BE49-F238E27FC236}">
                  <a16:creationId xmlns:a16="http://schemas.microsoft.com/office/drawing/2014/main" id="{00000000-0008-0000-0200-00007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104</xdr:row>
          <xdr:rowOff>0</xdr:rowOff>
        </xdr:from>
        <xdr:to>
          <xdr:col>4</xdr:col>
          <xdr:colOff>228600</xdr:colOff>
          <xdr:row>104</xdr:row>
          <xdr:rowOff>142875</xdr:rowOff>
        </xdr:to>
        <xdr:sp macro="" textlink="">
          <xdr:nvSpPr>
            <xdr:cNvPr id="3193" name="Check Box 121" hidden="1">
              <a:extLst>
                <a:ext uri="{63B3BB69-23CF-44E3-9099-C40C66FF867C}">
                  <a14:compatExt spid="_x0000_s3193"/>
                </a:ext>
                <a:ext uri="{FF2B5EF4-FFF2-40B4-BE49-F238E27FC236}">
                  <a16:creationId xmlns:a16="http://schemas.microsoft.com/office/drawing/2014/main" id="{00000000-0008-0000-0200-00007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105</xdr:row>
          <xdr:rowOff>0</xdr:rowOff>
        </xdr:from>
        <xdr:to>
          <xdr:col>4</xdr:col>
          <xdr:colOff>228600</xdr:colOff>
          <xdr:row>105</xdr:row>
          <xdr:rowOff>142875</xdr:rowOff>
        </xdr:to>
        <xdr:sp macro="" textlink="">
          <xdr:nvSpPr>
            <xdr:cNvPr id="3194" name="Check Box 122" hidden="1">
              <a:extLst>
                <a:ext uri="{63B3BB69-23CF-44E3-9099-C40C66FF867C}">
                  <a14:compatExt spid="_x0000_s3194"/>
                </a:ext>
                <a:ext uri="{FF2B5EF4-FFF2-40B4-BE49-F238E27FC236}">
                  <a16:creationId xmlns:a16="http://schemas.microsoft.com/office/drawing/2014/main" id="{00000000-0008-0000-0200-00007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174</xdr:row>
          <xdr:rowOff>0</xdr:rowOff>
        </xdr:from>
        <xdr:to>
          <xdr:col>4</xdr:col>
          <xdr:colOff>228600</xdr:colOff>
          <xdr:row>174</xdr:row>
          <xdr:rowOff>142875</xdr:rowOff>
        </xdr:to>
        <xdr:sp macro="" textlink="">
          <xdr:nvSpPr>
            <xdr:cNvPr id="3195" name="Check Box 123" hidden="1">
              <a:extLst>
                <a:ext uri="{63B3BB69-23CF-44E3-9099-C40C66FF867C}">
                  <a14:compatExt spid="_x0000_s3195"/>
                </a:ext>
                <a:ext uri="{FF2B5EF4-FFF2-40B4-BE49-F238E27FC236}">
                  <a16:creationId xmlns:a16="http://schemas.microsoft.com/office/drawing/2014/main" id="{00000000-0008-0000-0200-00007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175</xdr:row>
          <xdr:rowOff>0</xdr:rowOff>
        </xdr:from>
        <xdr:to>
          <xdr:col>4</xdr:col>
          <xdr:colOff>228600</xdr:colOff>
          <xdr:row>175</xdr:row>
          <xdr:rowOff>142875</xdr:rowOff>
        </xdr:to>
        <xdr:sp macro="" textlink="">
          <xdr:nvSpPr>
            <xdr:cNvPr id="3196" name="Check Box 124" hidden="1">
              <a:extLst>
                <a:ext uri="{63B3BB69-23CF-44E3-9099-C40C66FF867C}">
                  <a14:compatExt spid="_x0000_s3196"/>
                </a:ext>
                <a:ext uri="{FF2B5EF4-FFF2-40B4-BE49-F238E27FC236}">
                  <a16:creationId xmlns:a16="http://schemas.microsoft.com/office/drawing/2014/main" id="{00000000-0008-0000-0200-00007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188</xdr:row>
          <xdr:rowOff>0</xdr:rowOff>
        </xdr:from>
        <xdr:to>
          <xdr:col>4</xdr:col>
          <xdr:colOff>228600</xdr:colOff>
          <xdr:row>188</xdr:row>
          <xdr:rowOff>142875</xdr:rowOff>
        </xdr:to>
        <xdr:sp macro="" textlink="">
          <xdr:nvSpPr>
            <xdr:cNvPr id="3197" name="Check Box 125" hidden="1">
              <a:extLst>
                <a:ext uri="{63B3BB69-23CF-44E3-9099-C40C66FF867C}">
                  <a14:compatExt spid="_x0000_s3197"/>
                </a:ext>
                <a:ext uri="{FF2B5EF4-FFF2-40B4-BE49-F238E27FC236}">
                  <a16:creationId xmlns:a16="http://schemas.microsoft.com/office/drawing/2014/main" id="{00000000-0008-0000-0200-00007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189</xdr:row>
          <xdr:rowOff>0</xdr:rowOff>
        </xdr:from>
        <xdr:to>
          <xdr:col>4</xdr:col>
          <xdr:colOff>228600</xdr:colOff>
          <xdr:row>189</xdr:row>
          <xdr:rowOff>142875</xdr:rowOff>
        </xdr:to>
        <xdr:sp macro="" textlink="">
          <xdr:nvSpPr>
            <xdr:cNvPr id="3198" name="Check Box 126" hidden="1">
              <a:extLst>
                <a:ext uri="{63B3BB69-23CF-44E3-9099-C40C66FF867C}">
                  <a14:compatExt spid="_x0000_s3198"/>
                </a:ext>
                <a:ext uri="{FF2B5EF4-FFF2-40B4-BE49-F238E27FC236}">
                  <a16:creationId xmlns:a16="http://schemas.microsoft.com/office/drawing/2014/main" id="{00000000-0008-0000-0200-00007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190</xdr:row>
          <xdr:rowOff>0</xdr:rowOff>
        </xdr:from>
        <xdr:to>
          <xdr:col>4</xdr:col>
          <xdr:colOff>228600</xdr:colOff>
          <xdr:row>190</xdr:row>
          <xdr:rowOff>142875</xdr:rowOff>
        </xdr:to>
        <xdr:sp macro="" textlink="">
          <xdr:nvSpPr>
            <xdr:cNvPr id="3199" name="Check Box 127" hidden="1">
              <a:extLst>
                <a:ext uri="{63B3BB69-23CF-44E3-9099-C40C66FF867C}">
                  <a14:compatExt spid="_x0000_s3199"/>
                </a:ext>
                <a:ext uri="{FF2B5EF4-FFF2-40B4-BE49-F238E27FC236}">
                  <a16:creationId xmlns:a16="http://schemas.microsoft.com/office/drawing/2014/main" id="{00000000-0008-0000-0200-00007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191</xdr:row>
          <xdr:rowOff>0</xdr:rowOff>
        </xdr:from>
        <xdr:to>
          <xdr:col>4</xdr:col>
          <xdr:colOff>228600</xdr:colOff>
          <xdr:row>191</xdr:row>
          <xdr:rowOff>142875</xdr:rowOff>
        </xdr:to>
        <xdr:sp macro="" textlink="">
          <xdr:nvSpPr>
            <xdr:cNvPr id="3200" name="Check Box 128" hidden="1">
              <a:extLst>
                <a:ext uri="{63B3BB69-23CF-44E3-9099-C40C66FF867C}">
                  <a14:compatExt spid="_x0000_s3200"/>
                </a:ext>
                <a:ext uri="{FF2B5EF4-FFF2-40B4-BE49-F238E27FC236}">
                  <a16:creationId xmlns:a16="http://schemas.microsoft.com/office/drawing/2014/main" id="{00000000-0008-0000-0200-00008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239</xdr:row>
          <xdr:rowOff>0</xdr:rowOff>
        </xdr:from>
        <xdr:to>
          <xdr:col>4</xdr:col>
          <xdr:colOff>228600</xdr:colOff>
          <xdr:row>239</xdr:row>
          <xdr:rowOff>142875</xdr:rowOff>
        </xdr:to>
        <xdr:sp macro="" textlink="">
          <xdr:nvSpPr>
            <xdr:cNvPr id="3211" name="Check Box 139" hidden="1">
              <a:extLst>
                <a:ext uri="{63B3BB69-23CF-44E3-9099-C40C66FF867C}">
                  <a14:compatExt spid="_x0000_s3211"/>
                </a:ext>
                <a:ext uri="{FF2B5EF4-FFF2-40B4-BE49-F238E27FC236}">
                  <a16:creationId xmlns:a16="http://schemas.microsoft.com/office/drawing/2014/main" id="{00000000-0008-0000-0200-00008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352</xdr:row>
          <xdr:rowOff>0</xdr:rowOff>
        </xdr:from>
        <xdr:to>
          <xdr:col>4</xdr:col>
          <xdr:colOff>228600</xdr:colOff>
          <xdr:row>352</xdr:row>
          <xdr:rowOff>142875</xdr:rowOff>
        </xdr:to>
        <xdr:sp macro="" textlink="">
          <xdr:nvSpPr>
            <xdr:cNvPr id="3212" name="Check Box 140" hidden="1">
              <a:extLst>
                <a:ext uri="{63B3BB69-23CF-44E3-9099-C40C66FF867C}">
                  <a14:compatExt spid="_x0000_s3212"/>
                </a:ext>
                <a:ext uri="{FF2B5EF4-FFF2-40B4-BE49-F238E27FC236}">
                  <a16:creationId xmlns:a16="http://schemas.microsoft.com/office/drawing/2014/main" id="{00000000-0008-0000-0200-00008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353</xdr:row>
          <xdr:rowOff>0</xdr:rowOff>
        </xdr:from>
        <xdr:to>
          <xdr:col>4</xdr:col>
          <xdr:colOff>228600</xdr:colOff>
          <xdr:row>353</xdr:row>
          <xdr:rowOff>142875</xdr:rowOff>
        </xdr:to>
        <xdr:sp macro="" textlink="">
          <xdr:nvSpPr>
            <xdr:cNvPr id="3213" name="Check Box 141" hidden="1">
              <a:extLst>
                <a:ext uri="{63B3BB69-23CF-44E3-9099-C40C66FF867C}">
                  <a14:compatExt spid="_x0000_s3213"/>
                </a:ext>
                <a:ext uri="{FF2B5EF4-FFF2-40B4-BE49-F238E27FC236}">
                  <a16:creationId xmlns:a16="http://schemas.microsoft.com/office/drawing/2014/main" id="{00000000-0008-0000-0200-00008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118</xdr:row>
          <xdr:rowOff>0</xdr:rowOff>
        </xdr:from>
        <xdr:to>
          <xdr:col>4</xdr:col>
          <xdr:colOff>228600</xdr:colOff>
          <xdr:row>118</xdr:row>
          <xdr:rowOff>142875</xdr:rowOff>
        </xdr:to>
        <xdr:sp macro="" textlink="">
          <xdr:nvSpPr>
            <xdr:cNvPr id="3214" name="Check Box 142" hidden="1">
              <a:extLst>
                <a:ext uri="{63B3BB69-23CF-44E3-9099-C40C66FF867C}">
                  <a14:compatExt spid="_x0000_s3214"/>
                </a:ext>
                <a:ext uri="{FF2B5EF4-FFF2-40B4-BE49-F238E27FC236}">
                  <a16:creationId xmlns:a16="http://schemas.microsoft.com/office/drawing/2014/main" id="{00000000-0008-0000-0200-00008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119</xdr:row>
          <xdr:rowOff>0</xdr:rowOff>
        </xdr:from>
        <xdr:to>
          <xdr:col>4</xdr:col>
          <xdr:colOff>228600</xdr:colOff>
          <xdr:row>119</xdr:row>
          <xdr:rowOff>142875</xdr:rowOff>
        </xdr:to>
        <xdr:sp macro="" textlink="">
          <xdr:nvSpPr>
            <xdr:cNvPr id="3215" name="Check Box 143" hidden="1">
              <a:extLst>
                <a:ext uri="{63B3BB69-23CF-44E3-9099-C40C66FF867C}">
                  <a14:compatExt spid="_x0000_s3215"/>
                </a:ext>
                <a:ext uri="{FF2B5EF4-FFF2-40B4-BE49-F238E27FC236}">
                  <a16:creationId xmlns:a16="http://schemas.microsoft.com/office/drawing/2014/main" id="{00000000-0008-0000-0200-00008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120</xdr:row>
          <xdr:rowOff>0</xdr:rowOff>
        </xdr:from>
        <xdr:to>
          <xdr:col>4</xdr:col>
          <xdr:colOff>228600</xdr:colOff>
          <xdr:row>120</xdr:row>
          <xdr:rowOff>142875</xdr:rowOff>
        </xdr:to>
        <xdr:sp macro="" textlink="">
          <xdr:nvSpPr>
            <xdr:cNvPr id="3216" name="Check Box 144" hidden="1">
              <a:extLst>
                <a:ext uri="{63B3BB69-23CF-44E3-9099-C40C66FF867C}">
                  <a14:compatExt spid="_x0000_s3216"/>
                </a:ext>
                <a:ext uri="{FF2B5EF4-FFF2-40B4-BE49-F238E27FC236}">
                  <a16:creationId xmlns:a16="http://schemas.microsoft.com/office/drawing/2014/main" id="{00000000-0008-0000-0200-00009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121</xdr:row>
          <xdr:rowOff>0</xdr:rowOff>
        </xdr:from>
        <xdr:to>
          <xdr:col>4</xdr:col>
          <xdr:colOff>228600</xdr:colOff>
          <xdr:row>121</xdr:row>
          <xdr:rowOff>142875</xdr:rowOff>
        </xdr:to>
        <xdr:sp macro="" textlink="">
          <xdr:nvSpPr>
            <xdr:cNvPr id="3217" name="Check Box 145" hidden="1">
              <a:extLst>
                <a:ext uri="{63B3BB69-23CF-44E3-9099-C40C66FF867C}">
                  <a14:compatExt spid="_x0000_s3217"/>
                </a:ext>
                <a:ext uri="{FF2B5EF4-FFF2-40B4-BE49-F238E27FC236}">
                  <a16:creationId xmlns:a16="http://schemas.microsoft.com/office/drawing/2014/main" id="{00000000-0008-0000-0200-00009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232</xdr:row>
          <xdr:rowOff>0</xdr:rowOff>
        </xdr:from>
        <xdr:to>
          <xdr:col>4</xdr:col>
          <xdr:colOff>228600</xdr:colOff>
          <xdr:row>232</xdr:row>
          <xdr:rowOff>142875</xdr:rowOff>
        </xdr:to>
        <xdr:sp macro="" textlink="">
          <xdr:nvSpPr>
            <xdr:cNvPr id="3218" name="Check Box 146" hidden="1">
              <a:extLst>
                <a:ext uri="{63B3BB69-23CF-44E3-9099-C40C66FF867C}">
                  <a14:compatExt spid="_x0000_s3218"/>
                </a:ext>
                <a:ext uri="{FF2B5EF4-FFF2-40B4-BE49-F238E27FC236}">
                  <a16:creationId xmlns:a16="http://schemas.microsoft.com/office/drawing/2014/main" id="{00000000-0008-0000-0200-00009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233</xdr:row>
          <xdr:rowOff>0</xdr:rowOff>
        </xdr:from>
        <xdr:to>
          <xdr:col>4</xdr:col>
          <xdr:colOff>228600</xdr:colOff>
          <xdr:row>233</xdr:row>
          <xdr:rowOff>142875</xdr:rowOff>
        </xdr:to>
        <xdr:sp macro="" textlink="">
          <xdr:nvSpPr>
            <xdr:cNvPr id="3219" name="Check Box 147" hidden="1">
              <a:extLst>
                <a:ext uri="{63B3BB69-23CF-44E3-9099-C40C66FF867C}">
                  <a14:compatExt spid="_x0000_s3219"/>
                </a:ext>
                <a:ext uri="{FF2B5EF4-FFF2-40B4-BE49-F238E27FC236}">
                  <a16:creationId xmlns:a16="http://schemas.microsoft.com/office/drawing/2014/main" id="{00000000-0008-0000-0200-00009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234</xdr:row>
          <xdr:rowOff>0</xdr:rowOff>
        </xdr:from>
        <xdr:to>
          <xdr:col>4</xdr:col>
          <xdr:colOff>228600</xdr:colOff>
          <xdr:row>234</xdr:row>
          <xdr:rowOff>142875</xdr:rowOff>
        </xdr:to>
        <xdr:sp macro="" textlink="">
          <xdr:nvSpPr>
            <xdr:cNvPr id="3220" name="Check Box 148" hidden="1">
              <a:extLst>
                <a:ext uri="{63B3BB69-23CF-44E3-9099-C40C66FF867C}">
                  <a14:compatExt spid="_x0000_s3220"/>
                </a:ext>
                <a:ext uri="{FF2B5EF4-FFF2-40B4-BE49-F238E27FC236}">
                  <a16:creationId xmlns:a16="http://schemas.microsoft.com/office/drawing/2014/main" id="{00000000-0008-0000-0200-00009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235</xdr:row>
          <xdr:rowOff>0</xdr:rowOff>
        </xdr:from>
        <xdr:to>
          <xdr:col>4</xdr:col>
          <xdr:colOff>228600</xdr:colOff>
          <xdr:row>235</xdr:row>
          <xdr:rowOff>142875</xdr:rowOff>
        </xdr:to>
        <xdr:sp macro="" textlink="">
          <xdr:nvSpPr>
            <xdr:cNvPr id="3221" name="Check Box 149" hidden="1">
              <a:extLst>
                <a:ext uri="{63B3BB69-23CF-44E3-9099-C40C66FF867C}">
                  <a14:compatExt spid="_x0000_s3221"/>
                </a:ext>
                <a:ext uri="{FF2B5EF4-FFF2-40B4-BE49-F238E27FC236}">
                  <a16:creationId xmlns:a16="http://schemas.microsoft.com/office/drawing/2014/main" id="{00000000-0008-0000-0200-00009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236</xdr:row>
          <xdr:rowOff>0</xdr:rowOff>
        </xdr:from>
        <xdr:to>
          <xdr:col>4</xdr:col>
          <xdr:colOff>228600</xdr:colOff>
          <xdr:row>236</xdr:row>
          <xdr:rowOff>142875</xdr:rowOff>
        </xdr:to>
        <xdr:sp macro="" textlink="">
          <xdr:nvSpPr>
            <xdr:cNvPr id="3222" name="Check Box 150" hidden="1">
              <a:extLst>
                <a:ext uri="{63B3BB69-23CF-44E3-9099-C40C66FF867C}">
                  <a14:compatExt spid="_x0000_s3222"/>
                </a:ext>
                <a:ext uri="{FF2B5EF4-FFF2-40B4-BE49-F238E27FC236}">
                  <a16:creationId xmlns:a16="http://schemas.microsoft.com/office/drawing/2014/main" id="{00000000-0008-0000-0200-00009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237</xdr:row>
          <xdr:rowOff>0</xdr:rowOff>
        </xdr:from>
        <xdr:to>
          <xdr:col>4</xdr:col>
          <xdr:colOff>228600</xdr:colOff>
          <xdr:row>237</xdr:row>
          <xdr:rowOff>142875</xdr:rowOff>
        </xdr:to>
        <xdr:sp macro="" textlink="">
          <xdr:nvSpPr>
            <xdr:cNvPr id="3223" name="Check Box 151" hidden="1">
              <a:extLst>
                <a:ext uri="{63B3BB69-23CF-44E3-9099-C40C66FF867C}">
                  <a14:compatExt spid="_x0000_s3223"/>
                </a:ext>
                <a:ext uri="{FF2B5EF4-FFF2-40B4-BE49-F238E27FC236}">
                  <a16:creationId xmlns:a16="http://schemas.microsoft.com/office/drawing/2014/main" id="{00000000-0008-0000-0200-00009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238</xdr:row>
          <xdr:rowOff>0</xdr:rowOff>
        </xdr:from>
        <xdr:to>
          <xdr:col>4</xdr:col>
          <xdr:colOff>228600</xdr:colOff>
          <xdr:row>238</xdr:row>
          <xdr:rowOff>142875</xdr:rowOff>
        </xdr:to>
        <xdr:sp macro="" textlink="">
          <xdr:nvSpPr>
            <xdr:cNvPr id="3224" name="Check Box 152" hidden="1">
              <a:extLst>
                <a:ext uri="{63B3BB69-23CF-44E3-9099-C40C66FF867C}">
                  <a14:compatExt spid="_x0000_s3224"/>
                </a:ext>
                <a:ext uri="{FF2B5EF4-FFF2-40B4-BE49-F238E27FC236}">
                  <a16:creationId xmlns:a16="http://schemas.microsoft.com/office/drawing/2014/main" id="{00000000-0008-0000-0200-00009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239</xdr:row>
          <xdr:rowOff>0</xdr:rowOff>
        </xdr:from>
        <xdr:to>
          <xdr:col>4</xdr:col>
          <xdr:colOff>228600</xdr:colOff>
          <xdr:row>239</xdr:row>
          <xdr:rowOff>142875</xdr:rowOff>
        </xdr:to>
        <xdr:sp macro="" textlink="">
          <xdr:nvSpPr>
            <xdr:cNvPr id="3225" name="Check Box 153" hidden="1">
              <a:extLst>
                <a:ext uri="{63B3BB69-23CF-44E3-9099-C40C66FF867C}">
                  <a14:compatExt spid="_x0000_s3225"/>
                </a:ext>
                <a:ext uri="{FF2B5EF4-FFF2-40B4-BE49-F238E27FC236}">
                  <a16:creationId xmlns:a16="http://schemas.microsoft.com/office/drawing/2014/main" id="{00000000-0008-0000-0200-00009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351</xdr:row>
          <xdr:rowOff>0</xdr:rowOff>
        </xdr:from>
        <xdr:to>
          <xdr:col>4</xdr:col>
          <xdr:colOff>228600</xdr:colOff>
          <xdr:row>351</xdr:row>
          <xdr:rowOff>142875</xdr:rowOff>
        </xdr:to>
        <xdr:sp macro="" textlink="">
          <xdr:nvSpPr>
            <xdr:cNvPr id="3226" name="Check Box 154" hidden="1">
              <a:extLst>
                <a:ext uri="{63B3BB69-23CF-44E3-9099-C40C66FF867C}">
                  <a14:compatExt spid="_x0000_s3226"/>
                </a:ext>
                <a:ext uri="{FF2B5EF4-FFF2-40B4-BE49-F238E27FC236}">
                  <a16:creationId xmlns:a16="http://schemas.microsoft.com/office/drawing/2014/main" id="{00000000-0008-0000-0200-00009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252</xdr:row>
          <xdr:rowOff>0</xdr:rowOff>
        </xdr:from>
        <xdr:to>
          <xdr:col>4</xdr:col>
          <xdr:colOff>228600</xdr:colOff>
          <xdr:row>252</xdr:row>
          <xdr:rowOff>142875</xdr:rowOff>
        </xdr:to>
        <xdr:sp macro="" textlink="">
          <xdr:nvSpPr>
            <xdr:cNvPr id="3227" name="Check Box 155" hidden="1">
              <a:extLst>
                <a:ext uri="{63B3BB69-23CF-44E3-9099-C40C66FF867C}">
                  <a14:compatExt spid="_x0000_s3227"/>
                </a:ext>
                <a:ext uri="{FF2B5EF4-FFF2-40B4-BE49-F238E27FC236}">
                  <a16:creationId xmlns:a16="http://schemas.microsoft.com/office/drawing/2014/main" id="{00000000-0008-0000-0200-00009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253</xdr:row>
          <xdr:rowOff>0</xdr:rowOff>
        </xdr:from>
        <xdr:to>
          <xdr:col>4</xdr:col>
          <xdr:colOff>228600</xdr:colOff>
          <xdr:row>253</xdr:row>
          <xdr:rowOff>142875</xdr:rowOff>
        </xdr:to>
        <xdr:sp macro="" textlink="">
          <xdr:nvSpPr>
            <xdr:cNvPr id="3228" name="Check Box 156" hidden="1">
              <a:extLst>
                <a:ext uri="{63B3BB69-23CF-44E3-9099-C40C66FF867C}">
                  <a14:compatExt spid="_x0000_s3228"/>
                </a:ext>
                <a:ext uri="{FF2B5EF4-FFF2-40B4-BE49-F238E27FC236}">
                  <a16:creationId xmlns:a16="http://schemas.microsoft.com/office/drawing/2014/main" id="{00000000-0008-0000-0200-00009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254</xdr:row>
          <xdr:rowOff>0</xdr:rowOff>
        </xdr:from>
        <xdr:to>
          <xdr:col>4</xdr:col>
          <xdr:colOff>228600</xdr:colOff>
          <xdr:row>254</xdr:row>
          <xdr:rowOff>142875</xdr:rowOff>
        </xdr:to>
        <xdr:sp macro="" textlink="">
          <xdr:nvSpPr>
            <xdr:cNvPr id="3229" name="Check Box 157" hidden="1">
              <a:extLst>
                <a:ext uri="{63B3BB69-23CF-44E3-9099-C40C66FF867C}">
                  <a14:compatExt spid="_x0000_s3229"/>
                </a:ext>
                <a:ext uri="{FF2B5EF4-FFF2-40B4-BE49-F238E27FC236}">
                  <a16:creationId xmlns:a16="http://schemas.microsoft.com/office/drawing/2014/main" id="{00000000-0008-0000-0200-00009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255</xdr:row>
          <xdr:rowOff>0</xdr:rowOff>
        </xdr:from>
        <xdr:to>
          <xdr:col>4</xdr:col>
          <xdr:colOff>228600</xdr:colOff>
          <xdr:row>255</xdr:row>
          <xdr:rowOff>142875</xdr:rowOff>
        </xdr:to>
        <xdr:sp macro="" textlink="">
          <xdr:nvSpPr>
            <xdr:cNvPr id="3230" name="Check Box 158" hidden="1">
              <a:extLst>
                <a:ext uri="{63B3BB69-23CF-44E3-9099-C40C66FF867C}">
                  <a14:compatExt spid="_x0000_s3230"/>
                </a:ext>
                <a:ext uri="{FF2B5EF4-FFF2-40B4-BE49-F238E27FC236}">
                  <a16:creationId xmlns:a16="http://schemas.microsoft.com/office/drawing/2014/main" id="{00000000-0008-0000-0200-00009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256</xdr:row>
          <xdr:rowOff>0</xdr:rowOff>
        </xdr:from>
        <xdr:to>
          <xdr:col>4</xdr:col>
          <xdr:colOff>228600</xdr:colOff>
          <xdr:row>256</xdr:row>
          <xdr:rowOff>142875</xdr:rowOff>
        </xdr:to>
        <xdr:sp macro="" textlink="">
          <xdr:nvSpPr>
            <xdr:cNvPr id="3231" name="Check Box 159" hidden="1">
              <a:extLst>
                <a:ext uri="{63B3BB69-23CF-44E3-9099-C40C66FF867C}">
                  <a14:compatExt spid="_x0000_s3231"/>
                </a:ext>
                <a:ext uri="{FF2B5EF4-FFF2-40B4-BE49-F238E27FC236}">
                  <a16:creationId xmlns:a16="http://schemas.microsoft.com/office/drawing/2014/main" id="{00000000-0008-0000-0200-00009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257</xdr:row>
          <xdr:rowOff>0</xdr:rowOff>
        </xdr:from>
        <xdr:to>
          <xdr:col>4</xdr:col>
          <xdr:colOff>228600</xdr:colOff>
          <xdr:row>257</xdr:row>
          <xdr:rowOff>142875</xdr:rowOff>
        </xdr:to>
        <xdr:sp macro="" textlink="">
          <xdr:nvSpPr>
            <xdr:cNvPr id="3232" name="Check Box 160" hidden="1">
              <a:extLst>
                <a:ext uri="{63B3BB69-23CF-44E3-9099-C40C66FF867C}">
                  <a14:compatExt spid="_x0000_s3232"/>
                </a:ext>
                <a:ext uri="{FF2B5EF4-FFF2-40B4-BE49-F238E27FC236}">
                  <a16:creationId xmlns:a16="http://schemas.microsoft.com/office/drawing/2014/main" id="{00000000-0008-0000-0200-0000A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258</xdr:row>
          <xdr:rowOff>0</xdr:rowOff>
        </xdr:from>
        <xdr:to>
          <xdr:col>4</xdr:col>
          <xdr:colOff>228600</xdr:colOff>
          <xdr:row>258</xdr:row>
          <xdr:rowOff>142875</xdr:rowOff>
        </xdr:to>
        <xdr:sp macro="" textlink="">
          <xdr:nvSpPr>
            <xdr:cNvPr id="3233" name="Check Box 161" hidden="1">
              <a:extLst>
                <a:ext uri="{63B3BB69-23CF-44E3-9099-C40C66FF867C}">
                  <a14:compatExt spid="_x0000_s3233"/>
                </a:ext>
                <a:ext uri="{FF2B5EF4-FFF2-40B4-BE49-F238E27FC236}">
                  <a16:creationId xmlns:a16="http://schemas.microsoft.com/office/drawing/2014/main" id="{00000000-0008-0000-0200-0000A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259</xdr:row>
          <xdr:rowOff>0</xdr:rowOff>
        </xdr:from>
        <xdr:to>
          <xdr:col>4</xdr:col>
          <xdr:colOff>228600</xdr:colOff>
          <xdr:row>259</xdr:row>
          <xdr:rowOff>142875</xdr:rowOff>
        </xdr:to>
        <xdr:sp macro="" textlink="">
          <xdr:nvSpPr>
            <xdr:cNvPr id="3234" name="Check Box 162" hidden="1">
              <a:extLst>
                <a:ext uri="{63B3BB69-23CF-44E3-9099-C40C66FF867C}">
                  <a14:compatExt spid="_x0000_s3234"/>
                </a:ext>
                <a:ext uri="{FF2B5EF4-FFF2-40B4-BE49-F238E27FC236}">
                  <a16:creationId xmlns:a16="http://schemas.microsoft.com/office/drawing/2014/main" id="{00000000-0008-0000-0200-0000A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348</xdr:row>
          <xdr:rowOff>0</xdr:rowOff>
        </xdr:from>
        <xdr:to>
          <xdr:col>4</xdr:col>
          <xdr:colOff>228600</xdr:colOff>
          <xdr:row>348</xdr:row>
          <xdr:rowOff>142875</xdr:rowOff>
        </xdr:to>
        <xdr:sp macro="" textlink="">
          <xdr:nvSpPr>
            <xdr:cNvPr id="3235" name="Check Box 163" hidden="1">
              <a:extLst>
                <a:ext uri="{63B3BB69-23CF-44E3-9099-C40C66FF867C}">
                  <a14:compatExt spid="_x0000_s3235"/>
                </a:ext>
                <a:ext uri="{FF2B5EF4-FFF2-40B4-BE49-F238E27FC236}">
                  <a16:creationId xmlns:a16="http://schemas.microsoft.com/office/drawing/2014/main" id="{00000000-0008-0000-0200-0000A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349</xdr:row>
          <xdr:rowOff>0</xdr:rowOff>
        </xdr:from>
        <xdr:to>
          <xdr:col>4</xdr:col>
          <xdr:colOff>228600</xdr:colOff>
          <xdr:row>349</xdr:row>
          <xdr:rowOff>142875</xdr:rowOff>
        </xdr:to>
        <xdr:sp macro="" textlink="">
          <xdr:nvSpPr>
            <xdr:cNvPr id="3236" name="Check Box 164" hidden="1">
              <a:extLst>
                <a:ext uri="{63B3BB69-23CF-44E3-9099-C40C66FF867C}">
                  <a14:compatExt spid="_x0000_s3236"/>
                </a:ext>
                <a:ext uri="{FF2B5EF4-FFF2-40B4-BE49-F238E27FC236}">
                  <a16:creationId xmlns:a16="http://schemas.microsoft.com/office/drawing/2014/main" id="{00000000-0008-0000-0200-0000A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330</xdr:row>
          <xdr:rowOff>0</xdr:rowOff>
        </xdr:from>
        <xdr:to>
          <xdr:col>4</xdr:col>
          <xdr:colOff>228600</xdr:colOff>
          <xdr:row>330</xdr:row>
          <xdr:rowOff>142875</xdr:rowOff>
        </xdr:to>
        <xdr:sp macro="" textlink="">
          <xdr:nvSpPr>
            <xdr:cNvPr id="3237" name="Check Box 165" hidden="1">
              <a:extLst>
                <a:ext uri="{63B3BB69-23CF-44E3-9099-C40C66FF867C}">
                  <a14:compatExt spid="_x0000_s3237"/>
                </a:ext>
                <a:ext uri="{FF2B5EF4-FFF2-40B4-BE49-F238E27FC236}">
                  <a16:creationId xmlns:a16="http://schemas.microsoft.com/office/drawing/2014/main" id="{00000000-0008-0000-0200-0000A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331</xdr:row>
          <xdr:rowOff>0</xdr:rowOff>
        </xdr:from>
        <xdr:to>
          <xdr:col>4</xdr:col>
          <xdr:colOff>228600</xdr:colOff>
          <xdr:row>331</xdr:row>
          <xdr:rowOff>142875</xdr:rowOff>
        </xdr:to>
        <xdr:sp macro="" textlink="">
          <xdr:nvSpPr>
            <xdr:cNvPr id="3238" name="Check Box 166" hidden="1">
              <a:extLst>
                <a:ext uri="{63B3BB69-23CF-44E3-9099-C40C66FF867C}">
                  <a14:compatExt spid="_x0000_s3238"/>
                </a:ext>
                <a:ext uri="{FF2B5EF4-FFF2-40B4-BE49-F238E27FC236}">
                  <a16:creationId xmlns:a16="http://schemas.microsoft.com/office/drawing/2014/main" id="{00000000-0008-0000-0200-0000A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350</xdr:row>
          <xdr:rowOff>0</xdr:rowOff>
        </xdr:from>
        <xdr:to>
          <xdr:col>4</xdr:col>
          <xdr:colOff>228600</xdr:colOff>
          <xdr:row>350</xdr:row>
          <xdr:rowOff>142875</xdr:rowOff>
        </xdr:to>
        <xdr:sp macro="" textlink="">
          <xdr:nvSpPr>
            <xdr:cNvPr id="3239" name="Check Box 167" hidden="1">
              <a:extLst>
                <a:ext uri="{63B3BB69-23CF-44E3-9099-C40C66FF867C}">
                  <a14:compatExt spid="_x0000_s3239"/>
                </a:ext>
                <a:ext uri="{FF2B5EF4-FFF2-40B4-BE49-F238E27FC236}">
                  <a16:creationId xmlns:a16="http://schemas.microsoft.com/office/drawing/2014/main" id="{00000000-0008-0000-0200-0000A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351</xdr:row>
          <xdr:rowOff>0</xdr:rowOff>
        </xdr:from>
        <xdr:to>
          <xdr:col>4</xdr:col>
          <xdr:colOff>228600</xdr:colOff>
          <xdr:row>351</xdr:row>
          <xdr:rowOff>142875</xdr:rowOff>
        </xdr:to>
        <xdr:sp macro="" textlink="">
          <xdr:nvSpPr>
            <xdr:cNvPr id="3240" name="Check Box 168" hidden="1">
              <a:extLst>
                <a:ext uri="{63B3BB69-23CF-44E3-9099-C40C66FF867C}">
                  <a14:compatExt spid="_x0000_s3240"/>
                </a:ext>
                <a:ext uri="{FF2B5EF4-FFF2-40B4-BE49-F238E27FC236}">
                  <a16:creationId xmlns:a16="http://schemas.microsoft.com/office/drawing/2014/main" id="{00000000-0008-0000-0200-0000A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347</xdr:row>
          <xdr:rowOff>0</xdr:rowOff>
        </xdr:from>
        <xdr:to>
          <xdr:col>4</xdr:col>
          <xdr:colOff>228600</xdr:colOff>
          <xdr:row>347</xdr:row>
          <xdr:rowOff>142875</xdr:rowOff>
        </xdr:to>
        <xdr:sp macro="" textlink="">
          <xdr:nvSpPr>
            <xdr:cNvPr id="3241" name="Check Box 169" hidden="1">
              <a:extLst>
                <a:ext uri="{63B3BB69-23CF-44E3-9099-C40C66FF867C}">
                  <a14:compatExt spid="_x0000_s3241"/>
                </a:ext>
                <a:ext uri="{FF2B5EF4-FFF2-40B4-BE49-F238E27FC236}">
                  <a16:creationId xmlns:a16="http://schemas.microsoft.com/office/drawing/2014/main" id="{00000000-0008-0000-0200-0000A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140</xdr:row>
          <xdr:rowOff>0</xdr:rowOff>
        </xdr:from>
        <xdr:to>
          <xdr:col>4</xdr:col>
          <xdr:colOff>228600</xdr:colOff>
          <xdr:row>140</xdr:row>
          <xdr:rowOff>142875</xdr:rowOff>
        </xdr:to>
        <xdr:sp macro="" textlink="">
          <xdr:nvSpPr>
            <xdr:cNvPr id="3242" name="Check Box 170" hidden="1">
              <a:extLst>
                <a:ext uri="{63B3BB69-23CF-44E3-9099-C40C66FF867C}">
                  <a14:compatExt spid="_x0000_s3242"/>
                </a:ext>
                <a:ext uri="{FF2B5EF4-FFF2-40B4-BE49-F238E27FC236}">
                  <a16:creationId xmlns:a16="http://schemas.microsoft.com/office/drawing/2014/main" id="{00000000-0008-0000-0200-0000A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141</xdr:row>
          <xdr:rowOff>0</xdr:rowOff>
        </xdr:from>
        <xdr:to>
          <xdr:col>4</xdr:col>
          <xdr:colOff>228600</xdr:colOff>
          <xdr:row>141</xdr:row>
          <xdr:rowOff>142875</xdr:rowOff>
        </xdr:to>
        <xdr:sp macro="" textlink="">
          <xdr:nvSpPr>
            <xdr:cNvPr id="3243" name="Check Box 171" hidden="1">
              <a:extLst>
                <a:ext uri="{63B3BB69-23CF-44E3-9099-C40C66FF867C}">
                  <a14:compatExt spid="_x0000_s3243"/>
                </a:ext>
                <a:ext uri="{FF2B5EF4-FFF2-40B4-BE49-F238E27FC236}">
                  <a16:creationId xmlns:a16="http://schemas.microsoft.com/office/drawing/2014/main" id="{00000000-0008-0000-0200-0000A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142</xdr:row>
          <xdr:rowOff>0</xdr:rowOff>
        </xdr:from>
        <xdr:to>
          <xdr:col>4</xdr:col>
          <xdr:colOff>228600</xdr:colOff>
          <xdr:row>142</xdr:row>
          <xdr:rowOff>142875</xdr:rowOff>
        </xdr:to>
        <xdr:sp macro="" textlink="">
          <xdr:nvSpPr>
            <xdr:cNvPr id="3244" name="Check Box 172" hidden="1">
              <a:extLst>
                <a:ext uri="{63B3BB69-23CF-44E3-9099-C40C66FF867C}">
                  <a14:compatExt spid="_x0000_s3244"/>
                </a:ext>
                <a:ext uri="{FF2B5EF4-FFF2-40B4-BE49-F238E27FC236}">
                  <a16:creationId xmlns:a16="http://schemas.microsoft.com/office/drawing/2014/main" id="{00000000-0008-0000-0200-0000A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143</xdr:row>
          <xdr:rowOff>0</xdr:rowOff>
        </xdr:from>
        <xdr:to>
          <xdr:col>4</xdr:col>
          <xdr:colOff>228600</xdr:colOff>
          <xdr:row>143</xdr:row>
          <xdr:rowOff>142875</xdr:rowOff>
        </xdr:to>
        <xdr:sp macro="" textlink="">
          <xdr:nvSpPr>
            <xdr:cNvPr id="3245" name="Check Box 173" hidden="1">
              <a:extLst>
                <a:ext uri="{63B3BB69-23CF-44E3-9099-C40C66FF867C}">
                  <a14:compatExt spid="_x0000_s3245"/>
                </a:ext>
                <a:ext uri="{FF2B5EF4-FFF2-40B4-BE49-F238E27FC236}">
                  <a16:creationId xmlns:a16="http://schemas.microsoft.com/office/drawing/2014/main" id="{00000000-0008-0000-0200-0000A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144</xdr:row>
          <xdr:rowOff>0</xdr:rowOff>
        </xdr:from>
        <xdr:to>
          <xdr:col>4</xdr:col>
          <xdr:colOff>228600</xdr:colOff>
          <xdr:row>144</xdr:row>
          <xdr:rowOff>142875</xdr:rowOff>
        </xdr:to>
        <xdr:sp macro="" textlink="">
          <xdr:nvSpPr>
            <xdr:cNvPr id="3246" name="Check Box 174" hidden="1">
              <a:extLst>
                <a:ext uri="{63B3BB69-23CF-44E3-9099-C40C66FF867C}">
                  <a14:compatExt spid="_x0000_s3246"/>
                </a:ext>
                <a:ext uri="{FF2B5EF4-FFF2-40B4-BE49-F238E27FC236}">
                  <a16:creationId xmlns:a16="http://schemas.microsoft.com/office/drawing/2014/main" id="{00000000-0008-0000-0200-0000A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145</xdr:row>
          <xdr:rowOff>0</xdr:rowOff>
        </xdr:from>
        <xdr:to>
          <xdr:col>4</xdr:col>
          <xdr:colOff>228600</xdr:colOff>
          <xdr:row>145</xdr:row>
          <xdr:rowOff>142875</xdr:rowOff>
        </xdr:to>
        <xdr:sp macro="" textlink="">
          <xdr:nvSpPr>
            <xdr:cNvPr id="3247" name="Check Box 175" hidden="1">
              <a:extLst>
                <a:ext uri="{63B3BB69-23CF-44E3-9099-C40C66FF867C}">
                  <a14:compatExt spid="_x0000_s3247"/>
                </a:ext>
                <a:ext uri="{FF2B5EF4-FFF2-40B4-BE49-F238E27FC236}">
                  <a16:creationId xmlns:a16="http://schemas.microsoft.com/office/drawing/2014/main" id="{00000000-0008-0000-0200-0000A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146</xdr:row>
          <xdr:rowOff>0</xdr:rowOff>
        </xdr:from>
        <xdr:to>
          <xdr:col>4</xdr:col>
          <xdr:colOff>228600</xdr:colOff>
          <xdr:row>146</xdr:row>
          <xdr:rowOff>142875</xdr:rowOff>
        </xdr:to>
        <xdr:sp macro="" textlink="">
          <xdr:nvSpPr>
            <xdr:cNvPr id="3248" name="Check Box 176" hidden="1">
              <a:extLst>
                <a:ext uri="{63B3BB69-23CF-44E3-9099-C40C66FF867C}">
                  <a14:compatExt spid="_x0000_s3248"/>
                </a:ext>
                <a:ext uri="{FF2B5EF4-FFF2-40B4-BE49-F238E27FC236}">
                  <a16:creationId xmlns:a16="http://schemas.microsoft.com/office/drawing/2014/main" id="{00000000-0008-0000-0200-0000B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147</xdr:row>
          <xdr:rowOff>0</xdr:rowOff>
        </xdr:from>
        <xdr:to>
          <xdr:col>4</xdr:col>
          <xdr:colOff>228600</xdr:colOff>
          <xdr:row>147</xdr:row>
          <xdr:rowOff>142875</xdr:rowOff>
        </xdr:to>
        <xdr:sp macro="" textlink="">
          <xdr:nvSpPr>
            <xdr:cNvPr id="3249" name="Check Box 177" hidden="1">
              <a:extLst>
                <a:ext uri="{63B3BB69-23CF-44E3-9099-C40C66FF867C}">
                  <a14:compatExt spid="_x0000_s3249"/>
                </a:ext>
                <a:ext uri="{FF2B5EF4-FFF2-40B4-BE49-F238E27FC236}">
                  <a16:creationId xmlns:a16="http://schemas.microsoft.com/office/drawing/2014/main" id="{00000000-0008-0000-0200-0000B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148</xdr:row>
          <xdr:rowOff>0</xdr:rowOff>
        </xdr:from>
        <xdr:to>
          <xdr:col>4</xdr:col>
          <xdr:colOff>228600</xdr:colOff>
          <xdr:row>148</xdr:row>
          <xdr:rowOff>142875</xdr:rowOff>
        </xdr:to>
        <xdr:sp macro="" textlink="">
          <xdr:nvSpPr>
            <xdr:cNvPr id="3250" name="Check Box 178" hidden="1">
              <a:extLst>
                <a:ext uri="{63B3BB69-23CF-44E3-9099-C40C66FF867C}">
                  <a14:compatExt spid="_x0000_s3250"/>
                </a:ext>
                <a:ext uri="{FF2B5EF4-FFF2-40B4-BE49-F238E27FC236}">
                  <a16:creationId xmlns:a16="http://schemas.microsoft.com/office/drawing/2014/main" id="{00000000-0008-0000-0200-0000B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149</xdr:row>
          <xdr:rowOff>0</xdr:rowOff>
        </xdr:from>
        <xdr:to>
          <xdr:col>4</xdr:col>
          <xdr:colOff>228600</xdr:colOff>
          <xdr:row>149</xdr:row>
          <xdr:rowOff>142875</xdr:rowOff>
        </xdr:to>
        <xdr:sp macro="" textlink="">
          <xdr:nvSpPr>
            <xdr:cNvPr id="3251" name="Check Box 179" hidden="1">
              <a:extLst>
                <a:ext uri="{63B3BB69-23CF-44E3-9099-C40C66FF867C}">
                  <a14:compatExt spid="_x0000_s3251"/>
                </a:ext>
                <a:ext uri="{FF2B5EF4-FFF2-40B4-BE49-F238E27FC236}">
                  <a16:creationId xmlns:a16="http://schemas.microsoft.com/office/drawing/2014/main" id="{00000000-0008-0000-0200-0000B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150</xdr:row>
          <xdr:rowOff>0</xdr:rowOff>
        </xdr:from>
        <xdr:to>
          <xdr:col>4</xdr:col>
          <xdr:colOff>228600</xdr:colOff>
          <xdr:row>150</xdr:row>
          <xdr:rowOff>142875</xdr:rowOff>
        </xdr:to>
        <xdr:sp macro="" textlink="">
          <xdr:nvSpPr>
            <xdr:cNvPr id="3252" name="Check Box 180" hidden="1">
              <a:extLst>
                <a:ext uri="{63B3BB69-23CF-44E3-9099-C40C66FF867C}">
                  <a14:compatExt spid="_x0000_s3252"/>
                </a:ext>
                <a:ext uri="{FF2B5EF4-FFF2-40B4-BE49-F238E27FC236}">
                  <a16:creationId xmlns:a16="http://schemas.microsoft.com/office/drawing/2014/main" id="{00000000-0008-0000-0200-0000B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151</xdr:row>
          <xdr:rowOff>0</xdr:rowOff>
        </xdr:from>
        <xdr:to>
          <xdr:col>4</xdr:col>
          <xdr:colOff>228600</xdr:colOff>
          <xdr:row>151</xdr:row>
          <xdr:rowOff>142875</xdr:rowOff>
        </xdr:to>
        <xdr:sp macro="" textlink="">
          <xdr:nvSpPr>
            <xdr:cNvPr id="3253" name="Check Box 181" hidden="1">
              <a:extLst>
                <a:ext uri="{63B3BB69-23CF-44E3-9099-C40C66FF867C}">
                  <a14:compatExt spid="_x0000_s3253"/>
                </a:ext>
                <a:ext uri="{FF2B5EF4-FFF2-40B4-BE49-F238E27FC236}">
                  <a16:creationId xmlns:a16="http://schemas.microsoft.com/office/drawing/2014/main" id="{00000000-0008-0000-0200-0000B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346</xdr:row>
          <xdr:rowOff>0</xdr:rowOff>
        </xdr:from>
        <xdr:to>
          <xdr:col>4</xdr:col>
          <xdr:colOff>228600</xdr:colOff>
          <xdr:row>346</xdr:row>
          <xdr:rowOff>142875</xdr:rowOff>
        </xdr:to>
        <xdr:sp macro="" textlink="">
          <xdr:nvSpPr>
            <xdr:cNvPr id="3254" name="Check Box 182" hidden="1">
              <a:extLst>
                <a:ext uri="{63B3BB69-23CF-44E3-9099-C40C66FF867C}">
                  <a14:compatExt spid="_x0000_s3254"/>
                </a:ext>
                <a:ext uri="{FF2B5EF4-FFF2-40B4-BE49-F238E27FC236}">
                  <a16:creationId xmlns:a16="http://schemas.microsoft.com/office/drawing/2014/main" id="{00000000-0008-0000-0200-0000B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347</xdr:row>
          <xdr:rowOff>0</xdr:rowOff>
        </xdr:from>
        <xdr:to>
          <xdr:col>4</xdr:col>
          <xdr:colOff>228600</xdr:colOff>
          <xdr:row>347</xdr:row>
          <xdr:rowOff>142875</xdr:rowOff>
        </xdr:to>
        <xdr:sp macro="" textlink="">
          <xdr:nvSpPr>
            <xdr:cNvPr id="3255" name="Check Box 183" hidden="1">
              <a:extLst>
                <a:ext uri="{63B3BB69-23CF-44E3-9099-C40C66FF867C}">
                  <a14:compatExt spid="_x0000_s3255"/>
                </a:ext>
                <a:ext uri="{FF2B5EF4-FFF2-40B4-BE49-F238E27FC236}">
                  <a16:creationId xmlns:a16="http://schemas.microsoft.com/office/drawing/2014/main" id="{00000000-0008-0000-0200-0000B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345</xdr:row>
          <xdr:rowOff>0</xdr:rowOff>
        </xdr:from>
        <xdr:to>
          <xdr:col>4</xdr:col>
          <xdr:colOff>228600</xdr:colOff>
          <xdr:row>345</xdr:row>
          <xdr:rowOff>142875</xdr:rowOff>
        </xdr:to>
        <xdr:sp macro="" textlink="">
          <xdr:nvSpPr>
            <xdr:cNvPr id="3258" name="Check Box 186" hidden="1">
              <a:extLst>
                <a:ext uri="{63B3BB69-23CF-44E3-9099-C40C66FF867C}">
                  <a14:compatExt spid="_x0000_s3258"/>
                </a:ext>
                <a:ext uri="{FF2B5EF4-FFF2-40B4-BE49-F238E27FC236}">
                  <a16:creationId xmlns:a16="http://schemas.microsoft.com/office/drawing/2014/main" id="{00000000-0008-0000-0200-0000B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334</xdr:row>
          <xdr:rowOff>0</xdr:rowOff>
        </xdr:from>
        <xdr:to>
          <xdr:col>4</xdr:col>
          <xdr:colOff>228600</xdr:colOff>
          <xdr:row>334</xdr:row>
          <xdr:rowOff>142875</xdr:rowOff>
        </xdr:to>
        <xdr:sp macro="" textlink="">
          <xdr:nvSpPr>
            <xdr:cNvPr id="3259" name="Check Box 187" hidden="1">
              <a:extLst>
                <a:ext uri="{63B3BB69-23CF-44E3-9099-C40C66FF867C}">
                  <a14:compatExt spid="_x0000_s3259"/>
                </a:ext>
                <a:ext uri="{FF2B5EF4-FFF2-40B4-BE49-F238E27FC236}">
                  <a16:creationId xmlns:a16="http://schemas.microsoft.com/office/drawing/2014/main" id="{00000000-0008-0000-0200-0000B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335</xdr:row>
          <xdr:rowOff>0</xdr:rowOff>
        </xdr:from>
        <xdr:to>
          <xdr:col>4</xdr:col>
          <xdr:colOff>228600</xdr:colOff>
          <xdr:row>335</xdr:row>
          <xdr:rowOff>142875</xdr:rowOff>
        </xdr:to>
        <xdr:sp macro="" textlink="">
          <xdr:nvSpPr>
            <xdr:cNvPr id="3260" name="Check Box 188" hidden="1">
              <a:extLst>
                <a:ext uri="{63B3BB69-23CF-44E3-9099-C40C66FF867C}">
                  <a14:compatExt spid="_x0000_s3260"/>
                </a:ext>
                <a:ext uri="{FF2B5EF4-FFF2-40B4-BE49-F238E27FC236}">
                  <a16:creationId xmlns:a16="http://schemas.microsoft.com/office/drawing/2014/main" id="{00000000-0008-0000-0200-0000B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336</xdr:row>
          <xdr:rowOff>0</xdr:rowOff>
        </xdr:from>
        <xdr:to>
          <xdr:col>4</xdr:col>
          <xdr:colOff>228600</xdr:colOff>
          <xdr:row>336</xdr:row>
          <xdr:rowOff>142875</xdr:rowOff>
        </xdr:to>
        <xdr:sp macro="" textlink="">
          <xdr:nvSpPr>
            <xdr:cNvPr id="3261" name="Check Box 189" hidden="1">
              <a:extLst>
                <a:ext uri="{63B3BB69-23CF-44E3-9099-C40C66FF867C}">
                  <a14:compatExt spid="_x0000_s3261"/>
                </a:ext>
                <a:ext uri="{FF2B5EF4-FFF2-40B4-BE49-F238E27FC236}">
                  <a16:creationId xmlns:a16="http://schemas.microsoft.com/office/drawing/2014/main" id="{00000000-0008-0000-0200-0000B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337</xdr:row>
          <xdr:rowOff>0</xdr:rowOff>
        </xdr:from>
        <xdr:to>
          <xdr:col>4</xdr:col>
          <xdr:colOff>228600</xdr:colOff>
          <xdr:row>337</xdr:row>
          <xdr:rowOff>142875</xdr:rowOff>
        </xdr:to>
        <xdr:sp macro="" textlink="">
          <xdr:nvSpPr>
            <xdr:cNvPr id="3262" name="Check Box 190" hidden="1">
              <a:extLst>
                <a:ext uri="{63B3BB69-23CF-44E3-9099-C40C66FF867C}">
                  <a14:compatExt spid="_x0000_s3262"/>
                </a:ext>
                <a:ext uri="{FF2B5EF4-FFF2-40B4-BE49-F238E27FC236}">
                  <a16:creationId xmlns:a16="http://schemas.microsoft.com/office/drawing/2014/main" id="{00000000-0008-0000-0200-0000B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338</xdr:row>
          <xdr:rowOff>0</xdr:rowOff>
        </xdr:from>
        <xdr:to>
          <xdr:col>4</xdr:col>
          <xdr:colOff>228600</xdr:colOff>
          <xdr:row>338</xdr:row>
          <xdr:rowOff>142875</xdr:rowOff>
        </xdr:to>
        <xdr:sp macro="" textlink="">
          <xdr:nvSpPr>
            <xdr:cNvPr id="3263" name="Check Box 191" hidden="1">
              <a:extLst>
                <a:ext uri="{63B3BB69-23CF-44E3-9099-C40C66FF867C}">
                  <a14:compatExt spid="_x0000_s3263"/>
                </a:ext>
                <a:ext uri="{FF2B5EF4-FFF2-40B4-BE49-F238E27FC236}">
                  <a16:creationId xmlns:a16="http://schemas.microsoft.com/office/drawing/2014/main" id="{00000000-0008-0000-0200-0000B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339</xdr:row>
          <xdr:rowOff>0</xdr:rowOff>
        </xdr:from>
        <xdr:to>
          <xdr:col>4</xdr:col>
          <xdr:colOff>228600</xdr:colOff>
          <xdr:row>339</xdr:row>
          <xdr:rowOff>142875</xdr:rowOff>
        </xdr:to>
        <xdr:sp macro="" textlink="">
          <xdr:nvSpPr>
            <xdr:cNvPr id="3264" name="Check Box 192" hidden="1">
              <a:extLst>
                <a:ext uri="{63B3BB69-23CF-44E3-9099-C40C66FF867C}">
                  <a14:compatExt spid="_x0000_s3264"/>
                </a:ext>
                <a:ext uri="{FF2B5EF4-FFF2-40B4-BE49-F238E27FC236}">
                  <a16:creationId xmlns:a16="http://schemas.microsoft.com/office/drawing/2014/main" id="{00000000-0008-0000-0200-0000C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340</xdr:row>
          <xdr:rowOff>0</xdr:rowOff>
        </xdr:from>
        <xdr:to>
          <xdr:col>4</xdr:col>
          <xdr:colOff>228600</xdr:colOff>
          <xdr:row>340</xdr:row>
          <xdr:rowOff>142875</xdr:rowOff>
        </xdr:to>
        <xdr:sp macro="" textlink="">
          <xdr:nvSpPr>
            <xdr:cNvPr id="3265" name="Check Box 193" hidden="1">
              <a:extLst>
                <a:ext uri="{63B3BB69-23CF-44E3-9099-C40C66FF867C}">
                  <a14:compatExt spid="_x0000_s3265"/>
                </a:ext>
                <a:ext uri="{FF2B5EF4-FFF2-40B4-BE49-F238E27FC236}">
                  <a16:creationId xmlns:a16="http://schemas.microsoft.com/office/drawing/2014/main" id="{00000000-0008-0000-0200-0000C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341</xdr:row>
          <xdr:rowOff>0</xdr:rowOff>
        </xdr:from>
        <xdr:to>
          <xdr:col>4</xdr:col>
          <xdr:colOff>228600</xdr:colOff>
          <xdr:row>341</xdr:row>
          <xdr:rowOff>142875</xdr:rowOff>
        </xdr:to>
        <xdr:sp macro="" textlink="">
          <xdr:nvSpPr>
            <xdr:cNvPr id="3266" name="Check Box 194" hidden="1">
              <a:extLst>
                <a:ext uri="{63B3BB69-23CF-44E3-9099-C40C66FF867C}">
                  <a14:compatExt spid="_x0000_s3266"/>
                </a:ext>
                <a:ext uri="{FF2B5EF4-FFF2-40B4-BE49-F238E27FC236}">
                  <a16:creationId xmlns:a16="http://schemas.microsoft.com/office/drawing/2014/main" id="{00000000-0008-0000-0200-0000C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310</xdr:row>
          <xdr:rowOff>0</xdr:rowOff>
        </xdr:from>
        <xdr:to>
          <xdr:col>4</xdr:col>
          <xdr:colOff>228600</xdr:colOff>
          <xdr:row>310</xdr:row>
          <xdr:rowOff>142875</xdr:rowOff>
        </xdr:to>
        <xdr:sp macro="" textlink="">
          <xdr:nvSpPr>
            <xdr:cNvPr id="3267" name="Check Box 195" hidden="1">
              <a:extLst>
                <a:ext uri="{63B3BB69-23CF-44E3-9099-C40C66FF867C}">
                  <a14:compatExt spid="_x0000_s3267"/>
                </a:ext>
                <a:ext uri="{FF2B5EF4-FFF2-40B4-BE49-F238E27FC236}">
                  <a16:creationId xmlns:a16="http://schemas.microsoft.com/office/drawing/2014/main" id="{00000000-0008-0000-0200-0000C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311</xdr:row>
          <xdr:rowOff>0</xdr:rowOff>
        </xdr:from>
        <xdr:to>
          <xdr:col>4</xdr:col>
          <xdr:colOff>228600</xdr:colOff>
          <xdr:row>311</xdr:row>
          <xdr:rowOff>142875</xdr:rowOff>
        </xdr:to>
        <xdr:sp macro="" textlink="">
          <xdr:nvSpPr>
            <xdr:cNvPr id="3268" name="Check Box 196" hidden="1">
              <a:extLst>
                <a:ext uri="{63B3BB69-23CF-44E3-9099-C40C66FF867C}">
                  <a14:compatExt spid="_x0000_s3268"/>
                </a:ext>
                <a:ext uri="{FF2B5EF4-FFF2-40B4-BE49-F238E27FC236}">
                  <a16:creationId xmlns:a16="http://schemas.microsoft.com/office/drawing/2014/main" id="{00000000-0008-0000-0200-0000C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342</xdr:row>
          <xdr:rowOff>0</xdr:rowOff>
        </xdr:from>
        <xdr:to>
          <xdr:col>4</xdr:col>
          <xdr:colOff>228600</xdr:colOff>
          <xdr:row>342</xdr:row>
          <xdr:rowOff>142875</xdr:rowOff>
        </xdr:to>
        <xdr:sp macro="" textlink="">
          <xdr:nvSpPr>
            <xdr:cNvPr id="3269" name="Check Box 197" hidden="1">
              <a:extLst>
                <a:ext uri="{63B3BB69-23CF-44E3-9099-C40C66FF867C}">
                  <a14:compatExt spid="_x0000_s3269"/>
                </a:ext>
                <a:ext uri="{FF2B5EF4-FFF2-40B4-BE49-F238E27FC236}">
                  <a16:creationId xmlns:a16="http://schemas.microsoft.com/office/drawing/2014/main" id="{00000000-0008-0000-0200-0000C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343</xdr:row>
          <xdr:rowOff>0</xdr:rowOff>
        </xdr:from>
        <xdr:to>
          <xdr:col>4</xdr:col>
          <xdr:colOff>228600</xdr:colOff>
          <xdr:row>343</xdr:row>
          <xdr:rowOff>142875</xdr:rowOff>
        </xdr:to>
        <xdr:sp macro="" textlink="">
          <xdr:nvSpPr>
            <xdr:cNvPr id="3270" name="Check Box 198" hidden="1">
              <a:extLst>
                <a:ext uri="{63B3BB69-23CF-44E3-9099-C40C66FF867C}">
                  <a14:compatExt spid="_x0000_s3270"/>
                </a:ext>
                <a:ext uri="{FF2B5EF4-FFF2-40B4-BE49-F238E27FC236}">
                  <a16:creationId xmlns:a16="http://schemas.microsoft.com/office/drawing/2014/main" id="{00000000-0008-0000-0200-0000C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344</xdr:row>
          <xdr:rowOff>0</xdr:rowOff>
        </xdr:from>
        <xdr:to>
          <xdr:col>4</xdr:col>
          <xdr:colOff>228600</xdr:colOff>
          <xdr:row>344</xdr:row>
          <xdr:rowOff>142875</xdr:rowOff>
        </xdr:to>
        <xdr:sp macro="" textlink="">
          <xdr:nvSpPr>
            <xdr:cNvPr id="3271" name="Check Box 199" hidden="1">
              <a:extLst>
                <a:ext uri="{63B3BB69-23CF-44E3-9099-C40C66FF867C}">
                  <a14:compatExt spid="_x0000_s3271"/>
                </a:ext>
                <a:ext uri="{FF2B5EF4-FFF2-40B4-BE49-F238E27FC236}">
                  <a16:creationId xmlns:a16="http://schemas.microsoft.com/office/drawing/2014/main" id="{00000000-0008-0000-0200-0000C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345</xdr:row>
          <xdr:rowOff>0</xdr:rowOff>
        </xdr:from>
        <xdr:to>
          <xdr:col>4</xdr:col>
          <xdr:colOff>228600</xdr:colOff>
          <xdr:row>345</xdr:row>
          <xdr:rowOff>142875</xdr:rowOff>
        </xdr:to>
        <xdr:sp macro="" textlink="">
          <xdr:nvSpPr>
            <xdr:cNvPr id="3272" name="Check Box 200" hidden="1">
              <a:extLst>
                <a:ext uri="{63B3BB69-23CF-44E3-9099-C40C66FF867C}">
                  <a14:compatExt spid="_x0000_s3272"/>
                </a:ext>
                <a:ext uri="{FF2B5EF4-FFF2-40B4-BE49-F238E27FC236}">
                  <a16:creationId xmlns:a16="http://schemas.microsoft.com/office/drawing/2014/main" id="{00000000-0008-0000-0200-0000C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333</xdr:row>
          <xdr:rowOff>0</xdr:rowOff>
        </xdr:from>
        <xdr:to>
          <xdr:col>4</xdr:col>
          <xdr:colOff>228600</xdr:colOff>
          <xdr:row>333</xdr:row>
          <xdr:rowOff>142875</xdr:rowOff>
        </xdr:to>
        <xdr:sp macro="" textlink="">
          <xdr:nvSpPr>
            <xdr:cNvPr id="3273" name="Check Box 201" hidden="1">
              <a:extLst>
                <a:ext uri="{63B3BB69-23CF-44E3-9099-C40C66FF867C}">
                  <a14:compatExt spid="_x0000_s3273"/>
                </a:ext>
                <a:ext uri="{FF2B5EF4-FFF2-40B4-BE49-F238E27FC236}">
                  <a16:creationId xmlns:a16="http://schemas.microsoft.com/office/drawing/2014/main" id="{00000000-0008-0000-0200-0000C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318</xdr:row>
          <xdr:rowOff>0</xdr:rowOff>
        </xdr:from>
        <xdr:to>
          <xdr:col>4</xdr:col>
          <xdr:colOff>228600</xdr:colOff>
          <xdr:row>318</xdr:row>
          <xdr:rowOff>142875</xdr:rowOff>
        </xdr:to>
        <xdr:sp macro="" textlink="">
          <xdr:nvSpPr>
            <xdr:cNvPr id="3274" name="Check Box 202" hidden="1">
              <a:extLst>
                <a:ext uri="{63B3BB69-23CF-44E3-9099-C40C66FF867C}">
                  <a14:compatExt spid="_x0000_s3274"/>
                </a:ext>
                <a:ext uri="{FF2B5EF4-FFF2-40B4-BE49-F238E27FC236}">
                  <a16:creationId xmlns:a16="http://schemas.microsoft.com/office/drawing/2014/main" id="{00000000-0008-0000-0200-0000C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319</xdr:row>
          <xdr:rowOff>0</xdr:rowOff>
        </xdr:from>
        <xdr:to>
          <xdr:col>4</xdr:col>
          <xdr:colOff>228600</xdr:colOff>
          <xdr:row>319</xdr:row>
          <xdr:rowOff>142875</xdr:rowOff>
        </xdr:to>
        <xdr:sp macro="" textlink="">
          <xdr:nvSpPr>
            <xdr:cNvPr id="3275" name="Check Box 203" hidden="1">
              <a:extLst>
                <a:ext uri="{63B3BB69-23CF-44E3-9099-C40C66FF867C}">
                  <a14:compatExt spid="_x0000_s3275"/>
                </a:ext>
                <a:ext uri="{FF2B5EF4-FFF2-40B4-BE49-F238E27FC236}">
                  <a16:creationId xmlns:a16="http://schemas.microsoft.com/office/drawing/2014/main" id="{00000000-0008-0000-0200-0000C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320</xdr:row>
          <xdr:rowOff>0</xdr:rowOff>
        </xdr:from>
        <xdr:to>
          <xdr:col>4</xdr:col>
          <xdr:colOff>228600</xdr:colOff>
          <xdr:row>320</xdr:row>
          <xdr:rowOff>142875</xdr:rowOff>
        </xdr:to>
        <xdr:sp macro="" textlink="">
          <xdr:nvSpPr>
            <xdr:cNvPr id="3276" name="Check Box 204" hidden="1">
              <a:extLst>
                <a:ext uri="{63B3BB69-23CF-44E3-9099-C40C66FF867C}">
                  <a14:compatExt spid="_x0000_s3276"/>
                </a:ext>
                <a:ext uri="{FF2B5EF4-FFF2-40B4-BE49-F238E27FC236}">
                  <a16:creationId xmlns:a16="http://schemas.microsoft.com/office/drawing/2014/main" id="{00000000-0008-0000-0200-0000C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321</xdr:row>
          <xdr:rowOff>0</xdr:rowOff>
        </xdr:from>
        <xdr:to>
          <xdr:col>4</xdr:col>
          <xdr:colOff>228600</xdr:colOff>
          <xdr:row>321</xdr:row>
          <xdr:rowOff>142875</xdr:rowOff>
        </xdr:to>
        <xdr:sp macro="" textlink="">
          <xdr:nvSpPr>
            <xdr:cNvPr id="3277" name="Check Box 205" hidden="1">
              <a:extLst>
                <a:ext uri="{63B3BB69-23CF-44E3-9099-C40C66FF867C}">
                  <a14:compatExt spid="_x0000_s3277"/>
                </a:ext>
                <a:ext uri="{FF2B5EF4-FFF2-40B4-BE49-F238E27FC236}">
                  <a16:creationId xmlns:a16="http://schemas.microsoft.com/office/drawing/2014/main" id="{00000000-0008-0000-0200-0000C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322</xdr:row>
          <xdr:rowOff>0</xdr:rowOff>
        </xdr:from>
        <xdr:to>
          <xdr:col>4</xdr:col>
          <xdr:colOff>228600</xdr:colOff>
          <xdr:row>322</xdr:row>
          <xdr:rowOff>142875</xdr:rowOff>
        </xdr:to>
        <xdr:sp macro="" textlink="">
          <xdr:nvSpPr>
            <xdr:cNvPr id="3278" name="Check Box 206" hidden="1">
              <a:extLst>
                <a:ext uri="{63B3BB69-23CF-44E3-9099-C40C66FF867C}">
                  <a14:compatExt spid="_x0000_s3278"/>
                </a:ext>
                <a:ext uri="{FF2B5EF4-FFF2-40B4-BE49-F238E27FC236}">
                  <a16:creationId xmlns:a16="http://schemas.microsoft.com/office/drawing/2014/main" id="{00000000-0008-0000-0200-0000C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323</xdr:row>
          <xdr:rowOff>0</xdr:rowOff>
        </xdr:from>
        <xdr:to>
          <xdr:col>4</xdr:col>
          <xdr:colOff>228600</xdr:colOff>
          <xdr:row>323</xdr:row>
          <xdr:rowOff>142875</xdr:rowOff>
        </xdr:to>
        <xdr:sp macro="" textlink="">
          <xdr:nvSpPr>
            <xdr:cNvPr id="3279" name="Check Box 207" hidden="1">
              <a:extLst>
                <a:ext uri="{63B3BB69-23CF-44E3-9099-C40C66FF867C}">
                  <a14:compatExt spid="_x0000_s3279"/>
                </a:ext>
                <a:ext uri="{FF2B5EF4-FFF2-40B4-BE49-F238E27FC236}">
                  <a16:creationId xmlns:a16="http://schemas.microsoft.com/office/drawing/2014/main" id="{00000000-0008-0000-0200-0000C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324</xdr:row>
          <xdr:rowOff>0</xdr:rowOff>
        </xdr:from>
        <xdr:to>
          <xdr:col>4</xdr:col>
          <xdr:colOff>228600</xdr:colOff>
          <xdr:row>324</xdr:row>
          <xdr:rowOff>142875</xdr:rowOff>
        </xdr:to>
        <xdr:sp macro="" textlink="">
          <xdr:nvSpPr>
            <xdr:cNvPr id="3280" name="Check Box 208" hidden="1">
              <a:extLst>
                <a:ext uri="{63B3BB69-23CF-44E3-9099-C40C66FF867C}">
                  <a14:compatExt spid="_x0000_s3280"/>
                </a:ext>
                <a:ext uri="{FF2B5EF4-FFF2-40B4-BE49-F238E27FC236}">
                  <a16:creationId xmlns:a16="http://schemas.microsoft.com/office/drawing/2014/main" id="{00000000-0008-0000-0200-0000D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325</xdr:row>
          <xdr:rowOff>0</xdr:rowOff>
        </xdr:from>
        <xdr:to>
          <xdr:col>4</xdr:col>
          <xdr:colOff>228600</xdr:colOff>
          <xdr:row>325</xdr:row>
          <xdr:rowOff>142875</xdr:rowOff>
        </xdr:to>
        <xdr:sp macro="" textlink="">
          <xdr:nvSpPr>
            <xdr:cNvPr id="3281" name="Check Box 209" hidden="1">
              <a:extLst>
                <a:ext uri="{63B3BB69-23CF-44E3-9099-C40C66FF867C}">
                  <a14:compatExt spid="_x0000_s3281"/>
                </a:ext>
                <a:ext uri="{FF2B5EF4-FFF2-40B4-BE49-F238E27FC236}">
                  <a16:creationId xmlns:a16="http://schemas.microsoft.com/office/drawing/2014/main" id="{00000000-0008-0000-0200-0000D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326</xdr:row>
          <xdr:rowOff>0</xdr:rowOff>
        </xdr:from>
        <xdr:to>
          <xdr:col>4</xdr:col>
          <xdr:colOff>228600</xdr:colOff>
          <xdr:row>326</xdr:row>
          <xdr:rowOff>142875</xdr:rowOff>
        </xdr:to>
        <xdr:sp macro="" textlink="">
          <xdr:nvSpPr>
            <xdr:cNvPr id="3282" name="Check Box 210" hidden="1">
              <a:extLst>
                <a:ext uri="{63B3BB69-23CF-44E3-9099-C40C66FF867C}">
                  <a14:compatExt spid="_x0000_s3282"/>
                </a:ext>
                <a:ext uri="{FF2B5EF4-FFF2-40B4-BE49-F238E27FC236}">
                  <a16:creationId xmlns:a16="http://schemas.microsoft.com/office/drawing/2014/main" id="{00000000-0008-0000-0200-0000D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327</xdr:row>
          <xdr:rowOff>0</xdr:rowOff>
        </xdr:from>
        <xdr:to>
          <xdr:col>4</xdr:col>
          <xdr:colOff>228600</xdr:colOff>
          <xdr:row>327</xdr:row>
          <xdr:rowOff>142875</xdr:rowOff>
        </xdr:to>
        <xdr:sp macro="" textlink="">
          <xdr:nvSpPr>
            <xdr:cNvPr id="3283" name="Check Box 211" hidden="1">
              <a:extLst>
                <a:ext uri="{63B3BB69-23CF-44E3-9099-C40C66FF867C}">
                  <a14:compatExt spid="_x0000_s3283"/>
                </a:ext>
                <a:ext uri="{FF2B5EF4-FFF2-40B4-BE49-F238E27FC236}">
                  <a16:creationId xmlns:a16="http://schemas.microsoft.com/office/drawing/2014/main" id="{00000000-0008-0000-0200-0000D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328</xdr:row>
          <xdr:rowOff>0</xdr:rowOff>
        </xdr:from>
        <xdr:to>
          <xdr:col>4</xdr:col>
          <xdr:colOff>228600</xdr:colOff>
          <xdr:row>328</xdr:row>
          <xdr:rowOff>142875</xdr:rowOff>
        </xdr:to>
        <xdr:sp macro="" textlink="">
          <xdr:nvSpPr>
            <xdr:cNvPr id="3284" name="Check Box 212" hidden="1">
              <a:extLst>
                <a:ext uri="{63B3BB69-23CF-44E3-9099-C40C66FF867C}">
                  <a14:compatExt spid="_x0000_s3284"/>
                </a:ext>
                <a:ext uri="{FF2B5EF4-FFF2-40B4-BE49-F238E27FC236}">
                  <a16:creationId xmlns:a16="http://schemas.microsoft.com/office/drawing/2014/main" id="{00000000-0008-0000-0200-0000D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329</xdr:row>
          <xdr:rowOff>0</xdr:rowOff>
        </xdr:from>
        <xdr:to>
          <xdr:col>4</xdr:col>
          <xdr:colOff>228600</xdr:colOff>
          <xdr:row>329</xdr:row>
          <xdr:rowOff>142875</xdr:rowOff>
        </xdr:to>
        <xdr:sp macro="" textlink="">
          <xdr:nvSpPr>
            <xdr:cNvPr id="3285" name="Check Box 213" hidden="1">
              <a:extLst>
                <a:ext uri="{63B3BB69-23CF-44E3-9099-C40C66FF867C}">
                  <a14:compatExt spid="_x0000_s3285"/>
                </a:ext>
                <a:ext uri="{FF2B5EF4-FFF2-40B4-BE49-F238E27FC236}">
                  <a16:creationId xmlns:a16="http://schemas.microsoft.com/office/drawing/2014/main" id="{00000000-0008-0000-0200-0000D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332</xdr:row>
          <xdr:rowOff>0</xdr:rowOff>
        </xdr:from>
        <xdr:to>
          <xdr:col>4</xdr:col>
          <xdr:colOff>228600</xdr:colOff>
          <xdr:row>332</xdr:row>
          <xdr:rowOff>142875</xdr:rowOff>
        </xdr:to>
        <xdr:sp macro="" textlink="">
          <xdr:nvSpPr>
            <xdr:cNvPr id="3286" name="Check Box 214" hidden="1">
              <a:extLst>
                <a:ext uri="{63B3BB69-23CF-44E3-9099-C40C66FF867C}">
                  <a14:compatExt spid="_x0000_s3286"/>
                </a:ext>
                <a:ext uri="{FF2B5EF4-FFF2-40B4-BE49-F238E27FC236}">
                  <a16:creationId xmlns:a16="http://schemas.microsoft.com/office/drawing/2014/main" id="{00000000-0008-0000-0200-0000D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333</xdr:row>
          <xdr:rowOff>0</xdr:rowOff>
        </xdr:from>
        <xdr:to>
          <xdr:col>4</xdr:col>
          <xdr:colOff>228600</xdr:colOff>
          <xdr:row>333</xdr:row>
          <xdr:rowOff>142875</xdr:rowOff>
        </xdr:to>
        <xdr:sp macro="" textlink="">
          <xdr:nvSpPr>
            <xdr:cNvPr id="3287" name="Check Box 215" hidden="1">
              <a:extLst>
                <a:ext uri="{63B3BB69-23CF-44E3-9099-C40C66FF867C}">
                  <a14:compatExt spid="_x0000_s3287"/>
                </a:ext>
                <a:ext uri="{FF2B5EF4-FFF2-40B4-BE49-F238E27FC236}">
                  <a16:creationId xmlns:a16="http://schemas.microsoft.com/office/drawing/2014/main" id="{00000000-0008-0000-0200-0000D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275</xdr:row>
          <xdr:rowOff>0</xdr:rowOff>
        </xdr:from>
        <xdr:to>
          <xdr:col>4</xdr:col>
          <xdr:colOff>228600</xdr:colOff>
          <xdr:row>275</xdr:row>
          <xdr:rowOff>142875</xdr:rowOff>
        </xdr:to>
        <xdr:sp macro="" textlink="">
          <xdr:nvSpPr>
            <xdr:cNvPr id="3288" name="Check Box 216" hidden="1">
              <a:extLst>
                <a:ext uri="{63B3BB69-23CF-44E3-9099-C40C66FF867C}">
                  <a14:compatExt spid="_x0000_s3288"/>
                </a:ext>
                <a:ext uri="{FF2B5EF4-FFF2-40B4-BE49-F238E27FC236}">
                  <a16:creationId xmlns:a16="http://schemas.microsoft.com/office/drawing/2014/main" id="{00000000-0008-0000-0200-0000D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270</xdr:row>
          <xdr:rowOff>0</xdr:rowOff>
        </xdr:from>
        <xdr:to>
          <xdr:col>4</xdr:col>
          <xdr:colOff>228600</xdr:colOff>
          <xdr:row>270</xdr:row>
          <xdr:rowOff>142875</xdr:rowOff>
        </xdr:to>
        <xdr:sp macro="" textlink="">
          <xdr:nvSpPr>
            <xdr:cNvPr id="3289" name="Check Box 217" hidden="1">
              <a:extLst>
                <a:ext uri="{63B3BB69-23CF-44E3-9099-C40C66FF867C}">
                  <a14:compatExt spid="_x0000_s3289"/>
                </a:ext>
                <a:ext uri="{FF2B5EF4-FFF2-40B4-BE49-F238E27FC236}">
                  <a16:creationId xmlns:a16="http://schemas.microsoft.com/office/drawing/2014/main" id="{00000000-0008-0000-0200-0000D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271</xdr:row>
          <xdr:rowOff>0</xdr:rowOff>
        </xdr:from>
        <xdr:to>
          <xdr:col>4</xdr:col>
          <xdr:colOff>228600</xdr:colOff>
          <xdr:row>271</xdr:row>
          <xdr:rowOff>142875</xdr:rowOff>
        </xdr:to>
        <xdr:sp macro="" textlink="">
          <xdr:nvSpPr>
            <xdr:cNvPr id="3290" name="Check Box 218" hidden="1">
              <a:extLst>
                <a:ext uri="{63B3BB69-23CF-44E3-9099-C40C66FF867C}">
                  <a14:compatExt spid="_x0000_s3290"/>
                </a:ext>
                <a:ext uri="{FF2B5EF4-FFF2-40B4-BE49-F238E27FC236}">
                  <a16:creationId xmlns:a16="http://schemas.microsoft.com/office/drawing/2014/main" id="{00000000-0008-0000-0200-0000D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272</xdr:row>
          <xdr:rowOff>0</xdr:rowOff>
        </xdr:from>
        <xdr:to>
          <xdr:col>4</xdr:col>
          <xdr:colOff>228600</xdr:colOff>
          <xdr:row>272</xdr:row>
          <xdr:rowOff>142875</xdr:rowOff>
        </xdr:to>
        <xdr:sp macro="" textlink="">
          <xdr:nvSpPr>
            <xdr:cNvPr id="3291" name="Check Box 219" hidden="1">
              <a:extLst>
                <a:ext uri="{63B3BB69-23CF-44E3-9099-C40C66FF867C}">
                  <a14:compatExt spid="_x0000_s3291"/>
                </a:ext>
                <a:ext uri="{FF2B5EF4-FFF2-40B4-BE49-F238E27FC236}">
                  <a16:creationId xmlns:a16="http://schemas.microsoft.com/office/drawing/2014/main" id="{00000000-0008-0000-0200-0000D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273</xdr:row>
          <xdr:rowOff>0</xdr:rowOff>
        </xdr:from>
        <xdr:to>
          <xdr:col>4</xdr:col>
          <xdr:colOff>228600</xdr:colOff>
          <xdr:row>273</xdr:row>
          <xdr:rowOff>142875</xdr:rowOff>
        </xdr:to>
        <xdr:sp macro="" textlink="">
          <xdr:nvSpPr>
            <xdr:cNvPr id="3292" name="Check Box 220" hidden="1">
              <a:extLst>
                <a:ext uri="{63B3BB69-23CF-44E3-9099-C40C66FF867C}">
                  <a14:compatExt spid="_x0000_s3292"/>
                </a:ext>
                <a:ext uri="{FF2B5EF4-FFF2-40B4-BE49-F238E27FC236}">
                  <a16:creationId xmlns:a16="http://schemas.microsoft.com/office/drawing/2014/main" id="{00000000-0008-0000-0200-0000D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274</xdr:row>
          <xdr:rowOff>0</xdr:rowOff>
        </xdr:from>
        <xdr:to>
          <xdr:col>4</xdr:col>
          <xdr:colOff>228600</xdr:colOff>
          <xdr:row>274</xdr:row>
          <xdr:rowOff>142875</xdr:rowOff>
        </xdr:to>
        <xdr:sp macro="" textlink="">
          <xdr:nvSpPr>
            <xdr:cNvPr id="3293" name="Check Box 221" hidden="1">
              <a:extLst>
                <a:ext uri="{63B3BB69-23CF-44E3-9099-C40C66FF867C}">
                  <a14:compatExt spid="_x0000_s3293"/>
                </a:ext>
                <a:ext uri="{FF2B5EF4-FFF2-40B4-BE49-F238E27FC236}">
                  <a16:creationId xmlns:a16="http://schemas.microsoft.com/office/drawing/2014/main" id="{00000000-0008-0000-0200-0000D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275</xdr:row>
          <xdr:rowOff>0</xdr:rowOff>
        </xdr:from>
        <xdr:to>
          <xdr:col>4</xdr:col>
          <xdr:colOff>228600</xdr:colOff>
          <xdr:row>275</xdr:row>
          <xdr:rowOff>142875</xdr:rowOff>
        </xdr:to>
        <xdr:sp macro="" textlink="">
          <xdr:nvSpPr>
            <xdr:cNvPr id="3294" name="Check Box 222" hidden="1">
              <a:extLst>
                <a:ext uri="{63B3BB69-23CF-44E3-9099-C40C66FF867C}">
                  <a14:compatExt spid="_x0000_s3294"/>
                </a:ext>
                <a:ext uri="{FF2B5EF4-FFF2-40B4-BE49-F238E27FC236}">
                  <a16:creationId xmlns:a16="http://schemas.microsoft.com/office/drawing/2014/main" id="{00000000-0008-0000-0200-0000D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269</xdr:row>
          <xdr:rowOff>0</xdr:rowOff>
        </xdr:from>
        <xdr:to>
          <xdr:col>4</xdr:col>
          <xdr:colOff>228600</xdr:colOff>
          <xdr:row>269</xdr:row>
          <xdr:rowOff>142875</xdr:rowOff>
        </xdr:to>
        <xdr:sp macro="" textlink="">
          <xdr:nvSpPr>
            <xdr:cNvPr id="3295" name="Check Box 223" hidden="1">
              <a:extLst>
                <a:ext uri="{63B3BB69-23CF-44E3-9099-C40C66FF867C}">
                  <a14:compatExt spid="_x0000_s3295"/>
                </a:ext>
                <a:ext uri="{FF2B5EF4-FFF2-40B4-BE49-F238E27FC236}">
                  <a16:creationId xmlns:a16="http://schemas.microsoft.com/office/drawing/2014/main" id="{00000000-0008-0000-0200-0000D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268</xdr:row>
          <xdr:rowOff>0</xdr:rowOff>
        </xdr:from>
        <xdr:to>
          <xdr:col>4</xdr:col>
          <xdr:colOff>228600</xdr:colOff>
          <xdr:row>268</xdr:row>
          <xdr:rowOff>142875</xdr:rowOff>
        </xdr:to>
        <xdr:sp macro="" textlink="">
          <xdr:nvSpPr>
            <xdr:cNvPr id="3296" name="Check Box 224" hidden="1">
              <a:extLst>
                <a:ext uri="{63B3BB69-23CF-44E3-9099-C40C66FF867C}">
                  <a14:compatExt spid="_x0000_s3296"/>
                </a:ext>
                <a:ext uri="{FF2B5EF4-FFF2-40B4-BE49-F238E27FC236}">
                  <a16:creationId xmlns:a16="http://schemas.microsoft.com/office/drawing/2014/main" id="{00000000-0008-0000-0200-0000E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269</xdr:row>
          <xdr:rowOff>0</xdr:rowOff>
        </xdr:from>
        <xdr:to>
          <xdr:col>4</xdr:col>
          <xdr:colOff>228600</xdr:colOff>
          <xdr:row>269</xdr:row>
          <xdr:rowOff>142875</xdr:rowOff>
        </xdr:to>
        <xdr:sp macro="" textlink="">
          <xdr:nvSpPr>
            <xdr:cNvPr id="3297" name="Check Box 225" hidden="1">
              <a:extLst>
                <a:ext uri="{63B3BB69-23CF-44E3-9099-C40C66FF867C}">
                  <a14:compatExt spid="_x0000_s3297"/>
                </a:ext>
                <a:ext uri="{FF2B5EF4-FFF2-40B4-BE49-F238E27FC236}">
                  <a16:creationId xmlns:a16="http://schemas.microsoft.com/office/drawing/2014/main" id="{00000000-0008-0000-0200-0000E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81</xdr:row>
          <xdr:rowOff>0</xdr:rowOff>
        </xdr:from>
        <xdr:to>
          <xdr:col>4</xdr:col>
          <xdr:colOff>228600</xdr:colOff>
          <xdr:row>81</xdr:row>
          <xdr:rowOff>142875</xdr:rowOff>
        </xdr:to>
        <xdr:sp macro="" textlink="">
          <xdr:nvSpPr>
            <xdr:cNvPr id="3301" name="Check Box 229" hidden="1">
              <a:extLst>
                <a:ext uri="{63B3BB69-23CF-44E3-9099-C40C66FF867C}">
                  <a14:compatExt spid="_x0000_s3301"/>
                </a:ext>
                <a:ext uri="{FF2B5EF4-FFF2-40B4-BE49-F238E27FC236}">
                  <a16:creationId xmlns:a16="http://schemas.microsoft.com/office/drawing/2014/main" id="{00000000-0008-0000-0200-0000E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278</xdr:row>
          <xdr:rowOff>0</xdr:rowOff>
        </xdr:from>
        <xdr:to>
          <xdr:col>4</xdr:col>
          <xdr:colOff>228600</xdr:colOff>
          <xdr:row>278</xdr:row>
          <xdr:rowOff>142875</xdr:rowOff>
        </xdr:to>
        <xdr:sp macro="" textlink="">
          <xdr:nvSpPr>
            <xdr:cNvPr id="3302" name="Check Box 230" hidden="1">
              <a:extLst>
                <a:ext uri="{63B3BB69-23CF-44E3-9099-C40C66FF867C}">
                  <a14:compatExt spid="_x0000_s3302"/>
                </a:ext>
                <a:ext uri="{FF2B5EF4-FFF2-40B4-BE49-F238E27FC236}">
                  <a16:creationId xmlns:a16="http://schemas.microsoft.com/office/drawing/2014/main" id="{00000000-0008-0000-0200-0000E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279</xdr:row>
          <xdr:rowOff>0</xdr:rowOff>
        </xdr:from>
        <xdr:to>
          <xdr:col>4</xdr:col>
          <xdr:colOff>228600</xdr:colOff>
          <xdr:row>279</xdr:row>
          <xdr:rowOff>142875</xdr:rowOff>
        </xdr:to>
        <xdr:sp macro="" textlink="">
          <xdr:nvSpPr>
            <xdr:cNvPr id="3303" name="Check Box 231" hidden="1">
              <a:extLst>
                <a:ext uri="{63B3BB69-23CF-44E3-9099-C40C66FF867C}">
                  <a14:compatExt spid="_x0000_s3303"/>
                </a:ext>
                <a:ext uri="{FF2B5EF4-FFF2-40B4-BE49-F238E27FC236}">
                  <a16:creationId xmlns:a16="http://schemas.microsoft.com/office/drawing/2014/main" id="{00000000-0008-0000-0200-0000E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280</xdr:row>
          <xdr:rowOff>0</xdr:rowOff>
        </xdr:from>
        <xdr:to>
          <xdr:col>4</xdr:col>
          <xdr:colOff>228600</xdr:colOff>
          <xdr:row>280</xdr:row>
          <xdr:rowOff>142875</xdr:rowOff>
        </xdr:to>
        <xdr:sp macro="" textlink="">
          <xdr:nvSpPr>
            <xdr:cNvPr id="3304" name="Check Box 232" hidden="1">
              <a:extLst>
                <a:ext uri="{63B3BB69-23CF-44E3-9099-C40C66FF867C}">
                  <a14:compatExt spid="_x0000_s3304"/>
                </a:ext>
                <a:ext uri="{FF2B5EF4-FFF2-40B4-BE49-F238E27FC236}">
                  <a16:creationId xmlns:a16="http://schemas.microsoft.com/office/drawing/2014/main" id="{00000000-0008-0000-0200-0000E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281</xdr:row>
          <xdr:rowOff>0</xdr:rowOff>
        </xdr:from>
        <xdr:to>
          <xdr:col>4</xdr:col>
          <xdr:colOff>228600</xdr:colOff>
          <xdr:row>281</xdr:row>
          <xdr:rowOff>142875</xdr:rowOff>
        </xdr:to>
        <xdr:sp macro="" textlink="">
          <xdr:nvSpPr>
            <xdr:cNvPr id="3305" name="Check Box 233" hidden="1">
              <a:extLst>
                <a:ext uri="{63B3BB69-23CF-44E3-9099-C40C66FF867C}">
                  <a14:compatExt spid="_x0000_s3305"/>
                </a:ext>
                <a:ext uri="{FF2B5EF4-FFF2-40B4-BE49-F238E27FC236}">
                  <a16:creationId xmlns:a16="http://schemas.microsoft.com/office/drawing/2014/main" id="{00000000-0008-0000-0200-0000E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282</xdr:row>
          <xdr:rowOff>0</xdr:rowOff>
        </xdr:from>
        <xdr:to>
          <xdr:col>4</xdr:col>
          <xdr:colOff>228600</xdr:colOff>
          <xdr:row>282</xdr:row>
          <xdr:rowOff>142875</xdr:rowOff>
        </xdr:to>
        <xdr:sp macro="" textlink="">
          <xdr:nvSpPr>
            <xdr:cNvPr id="3306" name="Check Box 234" hidden="1">
              <a:extLst>
                <a:ext uri="{63B3BB69-23CF-44E3-9099-C40C66FF867C}">
                  <a14:compatExt spid="_x0000_s3306"/>
                </a:ext>
                <a:ext uri="{FF2B5EF4-FFF2-40B4-BE49-F238E27FC236}">
                  <a16:creationId xmlns:a16="http://schemas.microsoft.com/office/drawing/2014/main" id="{00000000-0008-0000-0200-0000E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283</xdr:row>
          <xdr:rowOff>0</xdr:rowOff>
        </xdr:from>
        <xdr:to>
          <xdr:col>4</xdr:col>
          <xdr:colOff>228600</xdr:colOff>
          <xdr:row>283</xdr:row>
          <xdr:rowOff>142875</xdr:rowOff>
        </xdr:to>
        <xdr:sp macro="" textlink="">
          <xdr:nvSpPr>
            <xdr:cNvPr id="3307" name="Check Box 235" hidden="1">
              <a:extLst>
                <a:ext uri="{63B3BB69-23CF-44E3-9099-C40C66FF867C}">
                  <a14:compatExt spid="_x0000_s3307"/>
                </a:ext>
                <a:ext uri="{FF2B5EF4-FFF2-40B4-BE49-F238E27FC236}">
                  <a16:creationId xmlns:a16="http://schemas.microsoft.com/office/drawing/2014/main" id="{00000000-0008-0000-0200-0000E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74</xdr:row>
          <xdr:rowOff>0</xdr:rowOff>
        </xdr:from>
        <xdr:to>
          <xdr:col>4</xdr:col>
          <xdr:colOff>228600</xdr:colOff>
          <xdr:row>74</xdr:row>
          <xdr:rowOff>142875</xdr:rowOff>
        </xdr:to>
        <xdr:sp macro="" textlink="">
          <xdr:nvSpPr>
            <xdr:cNvPr id="3308" name="Check Box 236" hidden="1">
              <a:extLst>
                <a:ext uri="{63B3BB69-23CF-44E3-9099-C40C66FF867C}">
                  <a14:compatExt spid="_x0000_s3308"/>
                </a:ext>
                <a:ext uri="{FF2B5EF4-FFF2-40B4-BE49-F238E27FC236}">
                  <a16:creationId xmlns:a16="http://schemas.microsoft.com/office/drawing/2014/main" id="{00000000-0008-0000-0200-0000E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75</xdr:row>
          <xdr:rowOff>0</xdr:rowOff>
        </xdr:from>
        <xdr:to>
          <xdr:col>4</xdr:col>
          <xdr:colOff>228600</xdr:colOff>
          <xdr:row>75</xdr:row>
          <xdr:rowOff>142875</xdr:rowOff>
        </xdr:to>
        <xdr:sp macro="" textlink="">
          <xdr:nvSpPr>
            <xdr:cNvPr id="3309" name="Check Box 237" hidden="1">
              <a:extLst>
                <a:ext uri="{63B3BB69-23CF-44E3-9099-C40C66FF867C}">
                  <a14:compatExt spid="_x0000_s3309"/>
                </a:ext>
                <a:ext uri="{FF2B5EF4-FFF2-40B4-BE49-F238E27FC236}">
                  <a16:creationId xmlns:a16="http://schemas.microsoft.com/office/drawing/2014/main" id="{00000000-0008-0000-0200-0000E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76</xdr:row>
          <xdr:rowOff>0</xdr:rowOff>
        </xdr:from>
        <xdr:to>
          <xdr:col>4</xdr:col>
          <xdr:colOff>228600</xdr:colOff>
          <xdr:row>76</xdr:row>
          <xdr:rowOff>142875</xdr:rowOff>
        </xdr:to>
        <xdr:sp macro="" textlink="">
          <xdr:nvSpPr>
            <xdr:cNvPr id="3310" name="Check Box 238" hidden="1">
              <a:extLst>
                <a:ext uri="{63B3BB69-23CF-44E3-9099-C40C66FF867C}">
                  <a14:compatExt spid="_x0000_s3310"/>
                </a:ext>
                <a:ext uri="{FF2B5EF4-FFF2-40B4-BE49-F238E27FC236}">
                  <a16:creationId xmlns:a16="http://schemas.microsoft.com/office/drawing/2014/main" id="{00000000-0008-0000-0200-0000E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77</xdr:row>
          <xdr:rowOff>0</xdr:rowOff>
        </xdr:from>
        <xdr:to>
          <xdr:col>4</xdr:col>
          <xdr:colOff>228600</xdr:colOff>
          <xdr:row>77</xdr:row>
          <xdr:rowOff>142875</xdr:rowOff>
        </xdr:to>
        <xdr:sp macro="" textlink="">
          <xdr:nvSpPr>
            <xdr:cNvPr id="3311" name="Check Box 239" hidden="1">
              <a:extLst>
                <a:ext uri="{63B3BB69-23CF-44E3-9099-C40C66FF867C}">
                  <a14:compatExt spid="_x0000_s3311"/>
                </a:ext>
                <a:ext uri="{FF2B5EF4-FFF2-40B4-BE49-F238E27FC236}">
                  <a16:creationId xmlns:a16="http://schemas.microsoft.com/office/drawing/2014/main" id="{00000000-0008-0000-0200-0000E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78</xdr:row>
          <xdr:rowOff>0</xdr:rowOff>
        </xdr:from>
        <xdr:to>
          <xdr:col>4</xdr:col>
          <xdr:colOff>228600</xdr:colOff>
          <xdr:row>78</xdr:row>
          <xdr:rowOff>142875</xdr:rowOff>
        </xdr:to>
        <xdr:sp macro="" textlink="">
          <xdr:nvSpPr>
            <xdr:cNvPr id="3312" name="Check Box 240" hidden="1">
              <a:extLst>
                <a:ext uri="{63B3BB69-23CF-44E3-9099-C40C66FF867C}">
                  <a14:compatExt spid="_x0000_s3312"/>
                </a:ext>
                <a:ext uri="{FF2B5EF4-FFF2-40B4-BE49-F238E27FC236}">
                  <a16:creationId xmlns:a16="http://schemas.microsoft.com/office/drawing/2014/main" id="{00000000-0008-0000-0200-0000F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79</xdr:row>
          <xdr:rowOff>0</xdr:rowOff>
        </xdr:from>
        <xdr:to>
          <xdr:col>4</xdr:col>
          <xdr:colOff>228600</xdr:colOff>
          <xdr:row>79</xdr:row>
          <xdr:rowOff>142875</xdr:rowOff>
        </xdr:to>
        <xdr:sp macro="" textlink="">
          <xdr:nvSpPr>
            <xdr:cNvPr id="3313" name="Check Box 241" hidden="1">
              <a:extLst>
                <a:ext uri="{63B3BB69-23CF-44E3-9099-C40C66FF867C}">
                  <a14:compatExt spid="_x0000_s3313"/>
                </a:ext>
                <a:ext uri="{FF2B5EF4-FFF2-40B4-BE49-F238E27FC236}">
                  <a16:creationId xmlns:a16="http://schemas.microsoft.com/office/drawing/2014/main" id="{00000000-0008-0000-0200-0000F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80</xdr:row>
          <xdr:rowOff>0</xdr:rowOff>
        </xdr:from>
        <xdr:to>
          <xdr:col>4</xdr:col>
          <xdr:colOff>228600</xdr:colOff>
          <xdr:row>80</xdr:row>
          <xdr:rowOff>142875</xdr:rowOff>
        </xdr:to>
        <xdr:sp macro="" textlink="">
          <xdr:nvSpPr>
            <xdr:cNvPr id="3314" name="Check Box 242" hidden="1">
              <a:extLst>
                <a:ext uri="{63B3BB69-23CF-44E3-9099-C40C66FF867C}">
                  <a14:compatExt spid="_x0000_s3314"/>
                </a:ext>
                <a:ext uri="{FF2B5EF4-FFF2-40B4-BE49-F238E27FC236}">
                  <a16:creationId xmlns:a16="http://schemas.microsoft.com/office/drawing/2014/main" id="{00000000-0008-0000-0200-0000F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81</xdr:row>
          <xdr:rowOff>0</xdr:rowOff>
        </xdr:from>
        <xdr:to>
          <xdr:col>4</xdr:col>
          <xdr:colOff>228600</xdr:colOff>
          <xdr:row>81</xdr:row>
          <xdr:rowOff>142875</xdr:rowOff>
        </xdr:to>
        <xdr:sp macro="" textlink="">
          <xdr:nvSpPr>
            <xdr:cNvPr id="3315" name="Check Box 243" hidden="1">
              <a:extLst>
                <a:ext uri="{63B3BB69-23CF-44E3-9099-C40C66FF867C}">
                  <a14:compatExt spid="_x0000_s3315"/>
                </a:ext>
                <a:ext uri="{FF2B5EF4-FFF2-40B4-BE49-F238E27FC236}">
                  <a16:creationId xmlns:a16="http://schemas.microsoft.com/office/drawing/2014/main" id="{00000000-0008-0000-0200-0000F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277</xdr:row>
          <xdr:rowOff>0</xdr:rowOff>
        </xdr:from>
        <xdr:to>
          <xdr:col>4</xdr:col>
          <xdr:colOff>228600</xdr:colOff>
          <xdr:row>277</xdr:row>
          <xdr:rowOff>142875</xdr:rowOff>
        </xdr:to>
        <xdr:sp macro="" textlink="">
          <xdr:nvSpPr>
            <xdr:cNvPr id="3316" name="Check Box 244" hidden="1">
              <a:extLst>
                <a:ext uri="{63B3BB69-23CF-44E3-9099-C40C66FF867C}">
                  <a14:compatExt spid="_x0000_s3316"/>
                </a:ext>
                <a:ext uri="{FF2B5EF4-FFF2-40B4-BE49-F238E27FC236}">
                  <a16:creationId xmlns:a16="http://schemas.microsoft.com/office/drawing/2014/main" id="{00000000-0008-0000-0200-0000F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114</xdr:row>
          <xdr:rowOff>0</xdr:rowOff>
        </xdr:from>
        <xdr:to>
          <xdr:col>4</xdr:col>
          <xdr:colOff>228600</xdr:colOff>
          <xdr:row>114</xdr:row>
          <xdr:rowOff>142875</xdr:rowOff>
        </xdr:to>
        <xdr:sp macro="" textlink="">
          <xdr:nvSpPr>
            <xdr:cNvPr id="3317" name="Check Box 245" hidden="1">
              <a:extLst>
                <a:ext uri="{63B3BB69-23CF-44E3-9099-C40C66FF867C}">
                  <a14:compatExt spid="_x0000_s3317"/>
                </a:ext>
                <a:ext uri="{FF2B5EF4-FFF2-40B4-BE49-F238E27FC236}">
                  <a16:creationId xmlns:a16="http://schemas.microsoft.com/office/drawing/2014/main" id="{00000000-0008-0000-0200-0000F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115</xdr:row>
          <xdr:rowOff>0</xdr:rowOff>
        </xdr:from>
        <xdr:to>
          <xdr:col>4</xdr:col>
          <xdr:colOff>228600</xdr:colOff>
          <xdr:row>115</xdr:row>
          <xdr:rowOff>142875</xdr:rowOff>
        </xdr:to>
        <xdr:sp macro="" textlink="">
          <xdr:nvSpPr>
            <xdr:cNvPr id="3318" name="Check Box 246" hidden="1">
              <a:extLst>
                <a:ext uri="{63B3BB69-23CF-44E3-9099-C40C66FF867C}">
                  <a14:compatExt spid="_x0000_s3318"/>
                </a:ext>
                <a:ext uri="{FF2B5EF4-FFF2-40B4-BE49-F238E27FC236}">
                  <a16:creationId xmlns:a16="http://schemas.microsoft.com/office/drawing/2014/main" id="{00000000-0008-0000-0200-0000F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116</xdr:row>
          <xdr:rowOff>0</xdr:rowOff>
        </xdr:from>
        <xdr:to>
          <xdr:col>4</xdr:col>
          <xdr:colOff>228600</xdr:colOff>
          <xdr:row>116</xdr:row>
          <xdr:rowOff>142875</xdr:rowOff>
        </xdr:to>
        <xdr:sp macro="" textlink="">
          <xdr:nvSpPr>
            <xdr:cNvPr id="3319" name="Check Box 247" hidden="1">
              <a:extLst>
                <a:ext uri="{63B3BB69-23CF-44E3-9099-C40C66FF867C}">
                  <a14:compatExt spid="_x0000_s3319"/>
                </a:ext>
                <a:ext uri="{FF2B5EF4-FFF2-40B4-BE49-F238E27FC236}">
                  <a16:creationId xmlns:a16="http://schemas.microsoft.com/office/drawing/2014/main" id="{00000000-0008-0000-0200-0000F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117</xdr:row>
          <xdr:rowOff>0</xdr:rowOff>
        </xdr:from>
        <xdr:to>
          <xdr:col>4</xdr:col>
          <xdr:colOff>228600</xdr:colOff>
          <xdr:row>117</xdr:row>
          <xdr:rowOff>142875</xdr:rowOff>
        </xdr:to>
        <xdr:sp macro="" textlink="">
          <xdr:nvSpPr>
            <xdr:cNvPr id="3320" name="Check Box 248" hidden="1">
              <a:extLst>
                <a:ext uri="{63B3BB69-23CF-44E3-9099-C40C66FF867C}">
                  <a14:compatExt spid="_x0000_s3320"/>
                </a:ext>
                <a:ext uri="{FF2B5EF4-FFF2-40B4-BE49-F238E27FC236}">
                  <a16:creationId xmlns:a16="http://schemas.microsoft.com/office/drawing/2014/main" id="{00000000-0008-0000-0200-0000F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152</xdr:row>
          <xdr:rowOff>0</xdr:rowOff>
        </xdr:from>
        <xdr:to>
          <xdr:col>4</xdr:col>
          <xdr:colOff>228600</xdr:colOff>
          <xdr:row>152</xdr:row>
          <xdr:rowOff>142875</xdr:rowOff>
        </xdr:to>
        <xdr:sp macro="" textlink="">
          <xdr:nvSpPr>
            <xdr:cNvPr id="3321" name="Check Box 249" hidden="1">
              <a:extLst>
                <a:ext uri="{63B3BB69-23CF-44E3-9099-C40C66FF867C}">
                  <a14:compatExt spid="_x0000_s3321"/>
                </a:ext>
                <a:ext uri="{FF2B5EF4-FFF2-40B4-BE49-F238E27FC236}">
                  <a16:creationId xmlns:a16="http://schemas.microsoft.com/office/drawing/2014/main" id="{00000000-0008-0000-0200-0000F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153</xdr:row>
          <xdr:rowOff>0</xdr:rowOff>
        </xdr:from>
        <xdr:to>
          <xdr:col>4</xdr:col>
          <xdr:colOff>228600</xdr:colOff>
          <xdr:row>153</xdr:row>
          <xdr:rowOff>142875</xdr:rowOff>
        </xdr:to>
        <xdr:sp macro="" textlink="">
          <xdr:nvSpPr>
            <xdr:cNvPr id="3322" name="Check Box 250" hidden="1">
              <a:extLst>
                <a:ext uri="{63B3BB69-23CF-44E3-9099-C40C66FF867C}">
                  <a14:compatExt spid="_x0000_s3322"/>
                </a:ext>
                <a:ext uri="{FF2B5EF4-FFF2-40B4-BE49-F238E27FC236}">
                  <a16:creationId xmlns:a16="http://schemas.microsoft.com/office/drawing/2014/main" id="{00000000-0008-0000-0200-0000F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154</xdr:row>
          <xdr:rowOff>0</xdr:rowOff>
        </xdr:from>
        <xdr:to>
          <xdr:col>4</xdr:col>
          <xdr:colOff>228600</xdr:colOff>
          <xdr:row>154</xdr:row>
          <xdr:rowOff>142875</xdr:rowOff>
        </xdr:to>
        <xdr:sp macro="" textlink="">
          <xdr:nvSpPr>
            <xdr:cNvPr id="3323" name="Check Box 251" hidden="1">
              <a:extLst>
                <a:ext uri="{63B3BB69-23CF-44E3-9099-C40C66FF867C}">
                  <a14:compatExt spid="_x0000_s3323"/>
                </a:ext>
                <a:ext uri="{FF2B5EF4-FFF2-40B4-BE49-F238E27FC236}">
                  <a16:creationId xmlns:a16="http://schemas.microsoft.com/office/drawing/2014/main" id="{00000000-0008-0000-0200-0000F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155</xdr:row>
          <xdr:rowOff>0</xdr:rowOff>
        </xdr:from>
        <xdr:to>
          <xdr:col>4</xdr:col>
          <xdr:colOff>228600</xdr:colOff>
          <xdr:row>155</xdr:row>
          <xdr:rowOff>142875</xdr:rowOff>
        </xdr:to>
        <xdr:sp macro="" textlink="">
          <xdr:nvSpPr>
            <xdr:cNvPr id="3324" name="Check Box 252" hidden="1">
              <a:extLst>
                <a:ext uri="{63B3BB69-23CF-44E3-9099-C40C66FF867C}">
                  <a14:compatExt spid="_x0000_s3324"/>
                </a:ext>
                <a:ext uri="{FF2B5EF4-FFF2-40B4-BE49-F238E27FC236}">
                  <a16:creationId xmlns:a16="http://schemas.microsoft.com/office/drawing/2014/main" id="{00000000-0008-0000-0200-0000F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260</xdr:row>
          <xdr:rowOff>0</xdr:rowOff>
        </xdr:from>
        <xdr:to>
          <xdr:col>4</xdr:col>
          <xdr:colOff>228600</xdr:colOff>
          <xdr:row>260</xdr:row>
          <xdr:rowOff>142875</xdr:rowOff>
        </xdr:to>
        <xdr:sp macro="" textlink="">
          <xdr:nvSpPr>
            <xdr:cNvPr id="3325" name="Check Box 253" hidden="1">
              <a:extLst>
                <a:ext uri="{63B3BB69-23CF-44E3-9099-C40C66FF867C}">
                  <a14:compatExt spid="_x0000_s3325"/>
                </a:ext>
                <a:ext uri="{FF2B5EF4-FFF2-40B4-BE49-F238E27FC236}">
                  <a16:creationId xmlns:a16="http://schemas.microsoft.com/office/drawing/2014/main" id="{00000000-0008-0000-0200-0000F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261</xdr:row>
          <xdr:rowOff>0</xdr:rowOff>
        </xdr:from>
        <xdr:to>
          <xdr:col>4</xdr:col>
          <xdr:colOff>228600</xdr:colOff>
          <xdr:row>261</xdr:row>
          <xdr:rowOff>142875</xdr:rowOff>
        </xdr:to>
        <xdr:sp macro="" textlink="">
          <xdr:nvSpPr>
            <xdr:cNvPr id="3326" name="Check Box 254" hidden="1">
              <a:extLst>
                <a:ext uri="{63B3BB69-23CF-44E3-9099-C40C66FF867C}">
                  <a14:compatExt spid="_x0000_s3326"/>
                </a:ext>
                <a:ext uri="{FF2B5EF4-FFF2-40B4-BE49-F238E27FC236}">
                  <a16:creationId xmlns:a16="http://schemas.microsoft.com/office/drawing/2014/main" id="{00000000-0008-0000-0200-0000F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204</xdr:row>
          <xdr:rowOff>0</xdr:rowOff>
        </xdr:from>
        <xdr:to>
          <xdr:col>4</xdr:col>
          <xdr:colOff>228600</xdr:colOff>
          <xdr:row>204</xdr:row>
          <xdr:rowOff>142875</xdr:rowOff>
        </xdr:to>
        <xdr:sp macro="" textlink="">
          <xdr:nvSpPr>
            <xdr:cNvPr id="3327" name="Check Box 255" hidden="1">
              <a:extLst>
                <a:ext uri="{63B3BB69-23CF-44E3-9099-C40C66FF867C}">
                  <a14:compatExt spid="_x0000_s3327"/>
                </a:ext>
                <a:ext uri="{FF2B5EF4-FFF2-40B4-BE49-F238E27FC236}">
                  <a16:creationId xmlns:a16="http://schemas.microsoft.com/office/drawing/2014/main" id="{00000000-0008-0000-0200-0000F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205</xdr:row>
          <xdr:rowOff>0</xdr:rowOff>
        </xdr:from>
        <xdr:to>
          <xdr:col>4</xdr:col>
          <xdr:colOff>228600</xdr:colOff>
          <xdr:row>205</xdr:row>
          <xdr:rowOff>142875</xdr:rowOff>
        </xdr:to>
        <xdr:sp macro="" textlink="">
          <xdr:nvSpPr>
            <xdr:cNvPr id="3328" name="Check Box 256" hidden="1">
              <a:extLst>
                <a:ext uri="{63B3BB69-23CF-44E3-9099-C40C66FF867C}">
                  <a14:compatExt spid="_x0000_s3328"/>
                </a:ext>
                <a:ext uri="{FF2B5EF4-FFF2-40B4-BE49-F238E27FC236}">
                  <a16:creationId xmlns:a16="http://schemas.microsoft.com/office/drawing/2014/main" id="{00000000-0008-0000-0200-000000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276</xdr:row>
          <xdr:rowOff>0</xdr:rowOff>
        </xdr:from>
        <xdr:to>
          <xdr:col>4</xdr:col>
          <xdr:colOff>228600</xdr:colOff>
          <xdr:row>276</xdr:row>
          <xdr:rowOff>142875</xdr:rowOff>
        </xdr:to>
        <xdr:sp macro="" textlink="">
          <xdr:nvSpPr>
            <xdr:cNvPr id="3329" name="Check Box 257" hidden="1">
              <a:extLst>
                <a:ext uri="{63B3BB69-23CF-44E3-9099-C40C66FF867C}">
                  <a14:compatExt spid="_x0000_s3329"/>
                </a:ext>
                <a:ext uri="{FF2B5EF4-FFF2-40B4-BE49-F238E27FC236}">
                  <a16:creationId xmlns:a16="http://schemas.microsoft.com/office/drawing/2014/main" id="{00000000-0008-0000-0200-000001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277</xdr:row>
          <xdr:rowOff>0</xdr:rowOff>
        </xdr:from>
        <xdr:to>
          <xdr:col>4</xdr:col>
          <xdr:colOff>228600</xdr:colOff>
          <xdr:row>277</xdr:row>
          <xdr:rowOff>142875</xdr:rowOff>
        </xdr:to>
        <xdr:sp macro="" textlink="">
          <xdr:nvSpPr>
            <xdr:cNvPr id="3330" name="Check Box 258" hidden="1">
              <a:extLst>
                <a:ext uri="{63B3BB69-23CF-44E3-9099-C40C66FF867C}">
                  <a14:compatExt spid="_x0000_s3330"/>
                </a:ext>
                <a:ext uri="{FF2B5EF4-FFF2-40B4-BE49-F238E27FC236}">
                  <a16:creationId xmlns:a16="http://schemas.microsoft.com/office/drawing/2014/main" id="{00000000-0008-0000-0200-000002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113</xdr:row>
          <xdr:rowOff>0</xdr:rowOff>
        </xdr:from>
        <xdr:to>
          <xdr:col>4</xdr:col>
          <xdr:colOff>228600</xdr:colOff>
          <xdr:row>113</xdr:row>
          <xdr:rowOff>142875</xdr:rowOff>
        </xdr:to>
        <xdr:sp macro="" textlink="">
          <xdr:nvSpPr>
            <xdr:cNvPr id="3331" name="Check Box 259" hidden="1">
              <a:extLst>
                <a:ext uri="{63B3BB69-23CF-44E3-9099-C40C66FF867C}">
                  <a14:compatExt spid="_x0000_s3331"/>
                </a:ext>
                <a:ext uri="{FF2B5EF4-FFF2-40B4-BE49-F238E27FC236}">
                  <a16:creationId xmlns:a16="http://schemas.microsoft.com/office/drawing/2014/main" id="{00000000-0008-0000-0200-000003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106</xdr:row>
          <xdr:rowOff>0</xdr:rowOff>
        </xdr:from>
        <xdr:to>
          <xdr:col>4</xdr:col>
          <xdr:colOff>228600</xdr:colOff>
          <xdr:row>106</xdr:row>
          <xdr:rowOff>142875</xdr:rowOff>
        </xdr:to>
        <xdr:sp macro="" textlink="">
          <xdr:nvSpPr>
            <xdr:cNvPr id="3332" name="Check Box 260" hidden="1">
              <a:extLst>
                <a:ext uri="{63B3BB69-23CF-44E3-9099-C40C66FF867C}">
                  <a14:compatExt spid="_x0000_s3332"/>
                </a:ext>
                <a:ext uri="{FF2B5EF4-FFF2-40B4-BE49-F238E27FC236}">
                  <a16:creationId xmlns:a16="http://schemas.microsoft.com/office/drawing/2014/main" id="{00000000-0008-0000-0200-000004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107</xdr:row>
          <xdr:rowOff>0</xdr:rowOff>
        </xdr:from>
        <xdr:to>
          <xdr:col>4</xdr:col>
          <xdr:colOff>228600</xdr:colOff>
          <xdr:row>107</xdr:row>
          <xdr:rowOff>142875</xdr:rowOff>
        </xdr:to>
        <xdr:sp macro="" textlink="">
          <xdr:nvSpPr>
            <xdr:cNvPr id="3333" name="Check Box 261" hidden="1">
              <a:extLst>
                <a:ext uri="{63B3BB69-23CF-44E3-9099-C40C66FF867C}">
                  <a14:compatExt spid="_x0000_s3333"/>
                </a:ext>
                <a:ext uri="{FF2B5EF4-FFF2-40B4-BE49-F238E27FC236}">
                  <a16:creationId xmlns:a16="http://schemas.microsoft.com/office/drawing/2014/main" id="{00000000-0008-0000-0200-000005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108</xdr:row>
          <xdr:rowOff>0</xdr:rowOff>
        </xdr:from>
        <xdr:to>
          <xdr:col>4</xdr:col>
          <xdr:colOff>228600</xdr:colOff>
          <xdr:row>108</xdr:row>
          <xdr:rowOff>142875</xdr:rowOff>
        </xdr:to>
        <xdr:sp macro="" textlink="">
          <xdr:nvSpPr>
            <xdr:cNvPr id="3334" name="Check Box 262" hidden="1">
              <a:extLst>
                <a:ext uri="{63B3BB69-23CF-44E3-9099-C40C66FF867C}">
                  <a14:compatExt spid="_x0000_s3334"/>
                </a:ext>
                <a:ext uri="{FF2B5EF4-FFF2-40B4-BE49-F238E27FC236}">
                  <a16:creationId xmlns:a16="http://schemas.microsoft.com/office/drawing/2014/main" id="{00000000-0008-0000-0200-000006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109</xdr:row>
          <xdr:rowOff>0</xdr:rowOff>
        </xdr:from>
        <xdr:to>
          <xdr:col>4</xdr:col>
          <xdr:colOff>228600</xdr:colOff>
          <xdr:row>109</xdr:row>
          <xdr:rowOff>142875</xdr:rowOff>
        </xdr:to>
        <xdr:sp macro="" textlink="">
          <xdr:nvSpPr>
            <xdr:cNvPr id="3335" name="Check Box 263" hidden="1">
              <a:extLst>
                <a:ext uri="{63B3BB69-23CF-44E3-9099-C40C66FF867C}">
                  <a14:compatExt spid="_x0000_s3335"/>
                </a:ext>
                <a:ext uri="{FF2B5EF4-FFF2-40B4-BE49-F238E27FC236}">
                  <a16:creationId xmlns:a16="http://schemas.microsoft.com/office/drawing/2014/main" id="{00000000-0008-0000-0200-000007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112</xdr:row>
          <xdr:rowOff>0</xdr:rowOff>
        </xdr:from>
        <xdr:to>
          <xdr:col>4</xdr:col>
          <xdr:colOff>228600</xdr:colOff>
          <xdr:row>112</xdr:row>
          <xdr:rowOff>142875</xdr:rowOff>
        </xdr:to>
        <xdr:sp macro="" textlink="">
          <xdr:nvSpPr>
            <xdr:cNvPr id="3336" name="Check Box 264" hidden="1">
              <a:extLst>
                <a:ext uri="{63B3BB69-23CF-44E3-9099-C40C66FF867C}">
                  <a14:compatExt spid="_x0000_s3336"/>
                </a:ext>
                <a:ext uri="{FF2B5EF4-FFF2-40B4-BE49-F238E27FC236}">
                  <a16:creationId xmlns:a16="http://schemas.microsoft.com/office/drawing/2014/main" id="{00000000-0008-0000-0200-000008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113</xdr:row>
          <xdr:rowOff>0</xdr:rowOff>
        </xdr:from>
        <xdr:to>
          <xdr:col>4</xdr:col>
          <xdr:colOff>228600</xdr:colOff>
          <xdr:row>113</xdr:row>
          <xdr:rowOff>142875</xdr:rowOff>
        </xdr:to>
        <xdr:sp macro="" textlink="">
          <xdr:nvSpPr>
            <xdr:cNvPr id="3337" name="Check Box 265" hidden="1">
              <a:extLst>
                <a:ext uri="{63B3BB69-23CF-44E3-9099-C40C66FF867C}">
                  <a14:compatExt spid="_x0000_s3337"/>
                </a:ext>
                <a:ext uri="{FF2B5EF4-FFF2-40B4-BE49-F238E27FC236}">
                  <a16:creationId xmlns:a16="http://schemas.microsoft.com/office/drawing/2014/main" id="{00000000-0008-0000-0200-000009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73</xdr:row>
          <xdr:rowOff>0</xdr:rowOff>
        </xdr:from>
        <xdr:to>
          <xdr:col>4</xdr:col>
          <xdr:colOff>228600</xdr:colOff>
          <xdr:row>73</xdr:row>
          <xdr:rowOff>142875</xdr:rowOff>
        </xdr:to>
        <xdr:sp macro="" textlink="">
          <xdr:nvSpPr>
            <xdr:cNvPr id="3338" name="Check Box 266" hidden="1">
              <a:extLst>
                <a:ext uri="{63B3BB69-23CF-44E3-9099-C40C66FF867C}">
                  <a14:compatExt spid="_x0000_s3338"/>
                </a:ext>
                <a:ext uri="{FF2B5EF4-FFF2-40B4-BE49-F238E27FC236}">
                  <a16:creationId xmlns:a16="http://schemas.microsoft.com/office/drawing/2014/main" id="{00000000-0008-0000-0200-00000A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72</xdr:row>
          <xdr:rowOff>0</xdr:rowOff>
        </xdr:from>
        <xdr:to>
          <xdr:col>4</xdr:col>
          <xdr:colOff>228600</xdr:colOff>
          <xdr:row>72</xdr:row>
          <xdr:rowOff>142875</xdr:rowOff>
        </xdr:to>
        <xdr:sp macro="" textlink="">
          <xdr:nvSpPr>
            <xdr:cNvPr id="3339" name="Check Box 267" hidden="1">
              <a:extLst>
                <a:ext uri="{63B3BB69-23CF-44E3-9099-C40C66FF867C}">
                  <a14:compatExt spid="_x0000_s3339"/>
                </a:ext>
                <a:ext uri="{FF2B5EF4-FFF2-40B4-BE49-F238E27FC236}">
                  <a16:creationId xmlns:a16="http://schemas.microsoft.com/office/drawing/2014/main" id="{00000000-0008-0000-0200-00000B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73</xdr:row>
          <xdr:rowOff>0</xdr:rowOff>
        </xdr:from>
        <xdr:to>
          <xdr:col>4</xdr:col>
          <xdr:colOff>228600</xdr:colOff>
          <xdr:row>73</xdr:row>
          <xdr:rowOff>142875</xdr:rowOff>
        </xdr:to>
        <xdr:sp macro="" textlink="">
          <xdr:nvSpPr>
            <xdr:cNvPr id="3340" name="Check Box 268" hidden="1">
              <a:extLst>
                <a:ext uri="{63B3BB69-23CF-44E3-9099-C40C66FF867C}">
                  <a14:compatExt spid="_x0000_s3340"/>
                </a:ext>
                <a:ext uri="{FF2B5EF4-FFF2-40B4-BE49-F238E27FC236}">
                  <a16:creationId xmlns:a16="http://schemas.microsoft.com/office/drawing/2014/main" id="{00000000-0008-0000-0200-00000C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71</xdr:row>
          <xdr:rowOff>0</xdr:rowOff>
        </xdr:from>
        <xdr:to>
          <xdr:col>4</xdr:col>
          <xdr:colOff>228600</xdr:colOff>
          <xdr:row>71</xdr:row>
          <xdr:rowOff>142875</xdr:rowOff>
        </xdr:to>
        <xdr:sp macro="" textlink="">
          <xdr:nvSpPr>
            <xdr:cNvPr id="3341" name="Check Box 269" hidden="1">
              <a:extLst>
                <a:ext uri="{63B3BB69-23CF-44E3-9099-C40C66FF867C}">
                  <a14:compatExt spid="_x0000_s3341"/>
                </a:ext>
                <a:ext uri="{FF2B5EF4-FFF2-40B4-BE49-F238E27FC236}">
                  <a16:creationId xmlns:a16="http://schemas.microsoft.com/office/drawing/2014/main" id="{00000000-0008-0000-0200-00000D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8</xdr:row>
          <xdr:rowOff>0</xdr:rowOff>
        </xdr:from>
        <xdr:to>
          <xdr:col>4</xdr:col>
          <xdr:colOff>228600</xdr:colOff>
          <xdr:row>8</xdr:row>
          <xdr:rowOff>142875</xdr:rowOff>
        </xdr:to>
        <xdr:sp macro="" textlink="">
          <xdr:nvSpPr>
            <xdr:cNvPr id="3342" name="Check Box 270" hidden="1">
              <a:extLst>
                <a:ext uri="{63B3BB69-23CF-44E3-9099-C40C66FF867C}">
                  <a14:compatExt spid="_x0000_s3342"/>
                </a:ext>
                <a:ext uri="{FF2B5EF4-FFF2-40B4-BE49-F238E27FC236}">
                  <a16:creationId xmlns:a16="http://schemas.microsoft.com/office/drawing/2014/main" id="{00000000-0008-0000-0200-00000E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9</xdr:row>
          <xdr:rowOff>0</xdr:rowOff>
        </xdr:from>
        <xdr:to>
          <xdr:col>4</xdr:col>
          <xdr:colOff>228600</xdr:colOff>
          <xdr:row>9</xdr:row>
          <xdr:rowOff>142875</xdr:rowOff>
        </xdr:to>
        <xdr:sp macro="" textlink="">
          <xdr:nvSpPr>
            <xdr:cNvPr id="3343" name="Check Box 271" hidden="1">
              <a:extLst>
                <a:ext uri="{63B3BB69-23CF-44E3-9099-C40C66FF867C}">
                  <a14:compatExt spid="_x0000_s3343"/>
                </a:ext>
                <a:ext uri="{FF2B5EF4-FFF2-40B4-BE49-F238E27FC236}">
                  <a16:creationId xmlns:a16="http://schemas.microsoft.com/office/drawing/2014/main" id="{00000000-0008-0000-0200-00000F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68</xdr:row>
          <xdr:rowOff>0</xdr:rowOff>
        </xdr:from>
        <xdr:to>
          <xdr:col>4</xdr:col>
          <xdr:colOff>228600</xdr:colOff>
          <xdr:row>68</xdr:row>
          <xdr:rowOff>142875</xdr:rowOff>
        </xdr:to>
        <xdr:sp macro="" textlink="">
          <xdr:nvSpPr>
            <xdr:cNvPr id="3344" name="Check Box 272" hidden="1">
              <a:extLst>
                <a:ext uri="{63B3BB69-23CF-44E3-9099-C40C66FF867C}">
                  <a14:compatExt spid="_x0000_s3344"/>
                </a:ext>
                <a:ext uri="{FF2B5EF4-FFF2-40B4-BE49-F238E27FC236}">
                  <a16:creationId xmlns:a16="http://schemas.microsoft.com/office/drawing/2014/main" id="{00000000-0008-0000-0200-000010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69</xdr:row>
          <xdr:rowOff>0</xdr:rowOff>
        </xdr:from>
        <xdr:to>
          <xdr:col>4</xdr:col>
          <xdr:colOff>228600</xdr:colOff>
          <xdr:row>69</xdr:row>
          <xdr:rowOff>142875</xdr:rowOff>
        </xdr:to>
        <xdr:sp macro="" textlink="">
          <xdr:nvSpPr>
            <xdr:cNvPr id="3345" name="Check Box 273" hidden="1">
              <a:extLst>
                <a:ext uri="{63B3BB69-23CF-44E3-9099-C40C66FF867C}">
                  <a14:compatExt spid="_x0000_s3345"/>
                </a:ext>
                <a:ext uri="{FF2B5EF4-FFF2-40B4-BE49-F238E27FC236}">
                  <a16:creationId xmlns:a16="http://schemas.microsoft.com/office/drawing/2014/main" id="{00000000-0008-0000-0200-000011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70</xdr:row>
          <xdr:rowOff>0</xdr:rowOff>
        </xdr:from>
        <xdr:to>
          <xdr:col>4</xdr:col>
          <xdr:colOff>228600</xdr:colOff>
          <xdr:row>70</xdr:row>
          <xdr:rowOff>142875</xdr:rowOff>
        </xdr:to>
        <xdr:sp macro="" textlink="">
          <xdr:nvSpPr>
            <xdr:cNvPr id="3346" name="Check Box 274" hidden="1">
              <a:extLst>
                <a:ext uri="{63B3BB69-23CF-44E3-9099-C40C66FF867C}">
                  <a14:compatExt spid="_x0000_s3346"/>
                </a:ext>
                <a:ext uri="{FF2B5EF4-FFF2-40B4-BE49-F238E27FC236}">
                  <a16:creationId xmlns:a16="http://schemas.microsoft.com/office/drawing/2014/main" id="{00000000-0008-0000-0200-000012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71</xdr:row>
          <xdr:rowOff>0</xdr:rowOff>
        </xdr:from>
        <xdr:to>
          <xdr:col>4</xdr:col>
          <xdr:colOff>228600</xdr:colOff>
          <xdr:row>71</xdr:row>
          <xdr:rowOff>142875</xdr:rowOff>
        </xdr:to>
        <xdr:sp macro="" textlink="">
          <xdr:nvSpPr>
            <xdr:cNvPr id="3347" name="Check Box 275" hidden="1">
              <a:extLst>
                <a:ext uri="{63B3BB69-23CF-44E3-9099-C40C66FF867C}">
                  <a14:compatExt spid="_x0000_s3347"/>
                </a:ext>
                <a:ext uri="{FF2B5EF4-FFF2-40B4-BE49-F238E27FC236}">
                  <a16:creationId xmlns:a16="http://schemas.microsoft.com/office/drawing/2014/main" id="{00000000-0008-0000-0200-000013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309</xdr:row>
          <xdr:rowOff>0</xdr:rowOff>
        </xdr:from>
        <xdr:to>
          <xdr:col>4</xdr:col>
          <xdr:colOff>228600</xdr:colOff>
          <xdr:row>309</xdr:row>
          <xdr:rowOff>142875</xdr:rowOff>
        </xdr:to>
        <xdr:sp macro="" textlink="">
          <xdr:nvSpPr>
            <xdr:cNvPr id="3352" name="Check Box 280" hidden="1">
              <a:extLst>
                <a:ext uri="{63B3BB69-23CF-44E3-9099-C40C66FF867C}">
                  <a14:compatExt spid="_x0000_s3352"/>
                </a:ext>
                <a:ext uri="{FF2B5EF4-FFF2-40B4-BE49-F238E27FC236}">
                  <a16:creationId xmlns:a16="http://schemas.microsoft.com/office/drawing/2014/main" id="{00000000-0008-0000-0200-000018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296</xdr:row>
          <xdr:rowOff>0</xdr:rowOff>
        </xdr:from>
        <xdr:to>
          <xdr:col>4</xdr:col>
          <xdr:colOff>228600</xdr:colOff>
          <xdr:row>296</xdr:row>
          <xdr:rowOff>142875</xdr:rowOff>
        </xdr:to>
        <xdr:sp macro="" textlink="">
          <xdr:nvSpPr>
            <xdr:cNvPr id="3353" name="Check Box 281" hidden="1">
              <a:extLst>
                <a:ext uri="{63B3BB69-23CF-44E3-9099-C40C66FF867C}">
                  <a14:compatExt spid="_x0000_s3353"/>
                </a:ext>
                <a:ext uri="{FF2B5EF4-FFF2-40B4-BE49-F238E27FC236}">
                  <a16:creationId xmlns:a16="http://schemas.microsoft.com/office/drawing/2014/main" id="{00000000-0008-0000-0200-000019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297</xdr:row>
          <xdr:rowOff>0</xdr:rowOff>
        </xdr:from>
        <xdr:to>
          <xdr:col>4</xdr:col>
          <xdr:colOff>228600</xdr:colOff>
          <xdr:row>297</xdr:row>
          <xdr:rowOff>142875</xdr:rowOff>
        </xdr:to>
        <xdr:sp macro="" textlink="">
          <xdr:nvSpPr>
            <xdr:cNvPr id="3354" name="Check Box 282" hidden="1">
              <a:extLst>
                <a:ext uri="{63B3BB69-23CF-44E3-9099-C40C66FF867C}">
                  <a14:compatExt spid="_x0000_s3354"/>
                </a:ext>
                <a:ext uri="{FF2B5EF4-FFF2-40B4-BE49-F238E27FC236}">
                  <a16:creationId xmlns:a16="http://schemas.microsoft.com/office/drawing/2014/main" id="{00000000-0008-0000-0200-00001A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298</xdr:row>
          <xdr:rowOff>0</xdr:rowOff>
        </xdr:from>
        <xdr:to>
          <xdr:col>4</xdr:col>
          <xdr:colOff>228600</xdr:colOff>
          <xdr:row>298</xdr:row>
          <xdr:rowOff>142875</xdr:rowOff>
        </xdr:to>
        <xdr:sp macro="" textlink="">
          <xdr:nvSpPr>
            <xdr:cNvPr id="3355" name="Check Box 283" hidden="1">
              <a:extLst>
                <a:ext uri="{63B3BB69-23CF-44E3-9099-C40C66FF867C}">
                  <a14:compatExt spid="_x0000_s3355"/>
                </a:ext>
                <a:ext uri="{FF2B5EF4-FFF2-40B4-BE49-F238E27FC236}">
                  <a16:creationId xmlns:a16="http://schemas.microsoft.com/office/drawing/2014/main" id="{00000000-0008-0000-0200-00001B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299</xdr:row>
          <xdr:rowOff>0</xdr:rowOff>
        </xdr:from>
        <xdr:to>
          <xdr:col>4</xdr:col>
          <xdr:colOff>228600</xdr:colOff>
          <xdr:row>299</xdr:row>
          <xdr:rowOff>142875</xdr:rowOff>
        </xdr:to>
        <xdr:sp macro="" textlink="">
          <xdr:nvSpPr>
            <xdr:cNvPr id="3356" name="Check Box 284" hidden="1">
              <a:extLst>
                <a:ext uri="{63B3BB69-23CF-44E3-9099-C40C66FF867C}">
                  <a14:compatExt spid="_x0000_s3356"/>
                </a:ext>
                <a:ext uri="{FF2B5EF4-FFF2-40B4-BE49-F238E27FC236}">
                  <a16:creationId xmlns:a16="http://schemas.microsoft.com/office/drawing/2014/main" id="{00000000-0008-0000-0200-00001C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300</xdr:row>
          <xdr:rowOff>0</xdr:rowOff>
        </xdr:from>
        <xdr:to>
          <xdr:col>4</xdr:col>
          <xdr:colOff>228600</xdr:colOff>
          <xdr:row>300</xdr:row>
          <xdr:rowOff>142875</xdr:rowOff>
        </xdr:to>
        <xdr:sp macro="" textlink="">
          <xdr:nvSpPr>
            <xdr:cNvPr id="3357" name="Check Box 285" hidden="1">
              <a:extLst>
                <a:ext uri="{63B3BB69-23CF-44E3-9099-C40C66FF867C}">
                  <a14:compatExt spid="_x0000_s3357"/>
                </a:ext>
                <a:ext uri="{FF2B5EF4-FFF2-40B4-BE49-F238E27FC236}">
                  <a16:creationId xmlns:a16="http://schemas.microsoft.com/office/drawing/2014/main" id="{00000000-0008-0000-0200-00001D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301</xdr:row>
          <xdr:rowOff>0</xdr:rowOff>
        </xdr:from>
        <xdr:to>
          <xdr:col>4</xdr:col>
          <xdr:colOff>228600</xdr:colOff>
          <xdr:row>301</xdr:row>
          <xdr:rowOff>142875</xdr:rowOff>
        </xdr:to>
        <xdr:sp macro="" textlink="">
          <xdr:nvSpPr>
            <xdr:cNvPr id="3358" name="Check Box 286" hidden="1">
              <a:extLst>
                <a:ext uri="{63B3BB69-23CF-44E3-9099-C40C66FF867C}">
                  <a14:compatExt spid="_x0000_s3358"/>
                </a:ext>
                <a:ext uri="{FF2B5EF4-FFF2-40B4-BE49-F238E27FC236}">
                  <a16:creationId xmlns:a16="http://schemas.microsoft.com/office/drawing/2014/main" id="{00000000-0008-0000-0200-00001E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302</xdr:row>
          <xdr:rowOff>0</xdr:rowOff>
        </xdr:from>
        <xdr:to>
          <xdr:col>4</xdr:col>
          <xdr:colOff>228600</xdr:colOff>
          <xdr:row>302</xdr:row>
          <xdr:rowOff>142875</xdr:rowOff>
        </xdr:to>
        <xdr:sp macro="" textlink="">
          <xdr:nvSpPr>
            <xdr:cNvPr id="3359" name="Check Box 287" hidden="1">
              <a:extLst>
                <a:ext uri="{63B3BB69-23CF-44E3-9099-C40C66FF867C}">
                  <a14:compatExt spid="_x0000_s3359"/>
                </a:ext>
                <a:ext uri="{FF2B5EF4-FFF2-40B4-BE49-F238E27FC236}">
                  <a16:creationId xmlns:a16="http://schemas.microsoft.com/office/drawing/2014/main" id="{00000000-0008-0000-0200-00001F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303</xdr:row>
          <xdr:rowOff>0</xdr:rowOff>
        </xdr:from>
        <xdr:to>
          <xdr:col>4</xdr:col>
          <xdr:colOff>228600</xdr:colOff>
          <xdr:row>303</xdr:row>
          <xdr:rowOff>142875</xdr:rowOff>
        </xdr:to>
        <xdr:sp macro="" textlink="">
          <xdr:nvSpPr>
            <xdr:cNvPr id="3360" name="Check Box 288" hidden="1">
              <a:extLst>
                <a:ext uri="{63B3BB69-23CF-44E3-9099-C40C66FF867C}">
                  <a14:compatExt spid="_x0000_s3360"/>
                </a:ext>
                <a:ext uri="{FF2B5EF4-FFF2-40B4-BE49-F238E27FC236}">
                  <a16:creationId xmlns:a16="http://schemas.microsoft.com/office/drawing/2014/main" id="{00000000-0008-0000-0200-000020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304</xdr:row>
          <xdr:rowOff>0</xdr:rowOff>
        </xdr:from>
        <xdr:to>
          <xdr:col>4</xdr:col>
          <xdr:colOff>228600</xdr:colOff>
          <xdr:row>304</xdr:row>
          <xdr:rowOff>142875</xdr:rowOff>
        </xdr:to>
        <xdr:sp macro="" textlink="">
          <xdr:nvSpPr>
            <xdr:cNvPr id="3361" name="Check Box 289" hidden="1">
              <a:extLst>
                <a:ext uri="{63B3BB69-23CF-44E3-9099-C40C66FF867C}">
                  <a14:compatExt spid="_x0000_s3361"/>
                </a:ext>
                <a:ext uri="{FF2B5EF4-FFF2-40B4-BE49-F238E27FC236}">
                  <a16:creationId xmlns:a16="http://schemas.microsoft.com/office/drawing/2014/main" id="{00000000-0008-0000-0200-000021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305</xdr:row>
          <xdr:rowOff>0</xdr:rowOff>
        </xdr:from>
        <xdr:to>
          <xdr:col>4</xdr:col>
          <xdr:colOff>228600</xdr:colOff>
          <xdr:row>305</xdr:row>
          <xdr:rowOff>142875</xdr:rowOff>
        </xdr:to>
        <xdr:sp macro="" textlink="">
          <xdr:nvSpPr>
            <xdr:cNvPr id="3362" name="Check Box 290" hidden="1">
              <a:extLst>
                <a:ext uri="{63B3BB69-23CF-44E3-9099-C40C66FF867C}">
                  <a14:compatExt spid="_x0000_s3362"/>
                </a:ext>
                <a:ext uri="{FF2B5EF4-FFF2-40B4-BE49-F238E27FC236}">
                  <a16:creationId xmlns:a16="http://schemas.microsoft.com/office/drawing/2014/main" id="{00000000-0008-0000-0200-000022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306</xdr:row>
          <xdr:rowOff>0</xdr:rowOff>
        </xdr:from>
        <xdr:to>
          <xdr:col>4</xdr:col>
          <xdr:colOff>228600</xdr:colOff>
          <xdr:row>306</xdr:row>
          <xdr:rowOff>142875</xdr:rowOff>
        </xdr:to>
        <xdr:sp macro="" textlink="">
          <xdr:nvSpPr>
            <xdr:cNvPr id="3363" name="Check Box 291" hidden="1">
              <a:extLst>
                <a:ext uri="{63B3BB69-23CF-44E3-9099-C40C66FF867C}">
                  <a14:compatExt spid="_x0000_s3363"/>
                </a:ext>
                <a:ext uri="{FF2B5EF4-FFF2-40B4-BE49-F238E27FC236}">
                  <a16:creationId xmlns:a16="http://schemas.microsoft.com/office/drawing/2014/main" id="{00000000-0008-0000-0200-000023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307</xdr:row>
          <xdr:rowOff>0</xdr:rowOff>
        </xdr:from>
        <xdr:to>
          <xdr:col>4</xdr:col>
          <xdr:colOff>228600</xdr:colOff>
          <xdr:row>307</xdr:row>
          <xdr:rowOff>142875</xdr:rowOff>
        </xdr:to>
        <xdr:sp macro="" textlink="">
          <xdr:nvSpPr>
            <xdr:cNvPr id="3364" name="Check Box 292" hidden="1">
              <a:extLst>
                <a:ext uri="{63B3BB69-23CF-44E3-9099-C40C66FF867C}">
                  <a14:compatExt spid="_x0000_s3364"/>
                </a:ext>
                <a:ext uri="{FF2B5EF4-FFF2-40B4-BE49-F238E27FC236}">
                  <a16:creationId xmlns:a16="http://schemas.microsoft.com/office/drawing/2014/main" id="{00000000-0008-0000-0200-000024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308</xdr:row>
          <xdr:rowOff>0</xdr:rowOff>
        </xdr:from>
        <xdr:to>
          <xdr:col>4</xdr:col>
          <xdr:colOff>228600</xdr:colOff>
          <xdr:row>308</xdr:row>
          <xdr:rowOff>142875</xdr:rowOff>
        </xdr:to>
        <xdr:sp macro="" textlink="">
          <xdr:nvSpPr>
            <xdr:cNvPr id="3365" name="Check Box 293" hidden="1">
              <a:extLst>
                <a:ext uri="{63B3BB69-23CF-44E3-9099-C40C66FF867C}">
                  <a14:compatExt spid="_x0000_s3365"/>
                </a:ext>
                <a:ext uri="{FF2B5EF4-FFF2-40B4-BE49-F238E27FC236}">
                  <a16:creationId xmlns:a16="http://schemas.microsoft.com/office/drawing/2014/main" id="{00000000-0008-0000-0200-000025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309</xdr:row>
          <xdr:rowOff>0</xdr:rowOff>
        </xdr:from>
        <xdr:to>
          <xdr:col>4</xdr:col>
          <xdr:colOff>228600</xdr:colOff>
          <xdr:row>309</xdr:row>
          <xdr:rowOff>142875</xdr:rowOff>
        </xdr:to>
        <xdr:sp macro="" textlink="">
          <xdr:nvSpPr>
            <xdr:cNvPr id="3366" name="Check Box 294" hidden="1">
              <a:extLst>
                <a:ext uri="{63B3BB69-23CF-44E3-9099-C40C66FF867C}">
                  <a14:compatExt spid="_x0000_s3366"/>
                </a:ext>
                <a:ext uri="{FF2B5EF4-FFF2-40B4-BE49-F238E27FC236}">
                  <a16:creationId xmlns:a16="http://schemas.microsoft.com/office/drawing/2014/main" id="{00000000-0008-0000-0200-000026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295</xdr:row>
          <xdr:rowOff>0</xdr:rowOff>
        </xdr:from>
        <xdr:to>
          <xdr:col>4</xdr:col>
          <xdr:colOff>228600</xdr:colOff>
          <xdr:row>295</xdr:row>
          <xdr:rowOff>142875</xdr:rowOff>
        </xdr:to>
        <xdr:sp macro="" textlink="">
          <xdr:nvSpPr>
            <xdr:cNvPr id="3367" name="Check Box 295" hidden="1">
              <a:extLst>
                <a:ext uri="{63B3BB69-23CF-44E3-9099-C40C66FF867C}">
                  <a14:compatExt spid="_x0000_s3367"/>
                </a:ext>
                <a:ext uri="{FF2B5EF4-FFF2-40B4-BE49-F238E27FC236}">
                  <a16:creationId xmlns:a16="http://schemas.microsoft.com/office/drawing/2014/main" id="{00000000-0008-0000-0200-000027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216</xdr:row>
          <xdr:rowOff>0</xdr:rowOff>
        </xdr:from>
        <xdr:to>
          <xdr:col>4</xdr:col>
          <xdr:colOff>228600</xdr:colOff>
          <xdr:row>216</xdr:row>
          <xdr:rowOff>142875</xdr:rowOff>
        </xdr:to>
        <xdr:sp macro="" textlink="">
          <xdr:nvSpPr>
            <xdr:cNvPr id="3368" name="Check Box 296" hidden="1">
              <a:extLst>
                <a:ext uri="{63B3BB69-23CF-44E3-9099-C40C66FF867C}">
                  <a14:compatExt spid="_x0000_s3368"/>
                </a:ext>
                <a:ext uri="{FF2B5EF4-FFF2-40B4-BE49-F238E27FC236}">
                  <a16:creationId xmlns:a16="http://schemas.microsoft.com/office/drawing/2014/main" id="{00000000-0008-0000-0200-000028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217</xdr:row>
          <xdr:rowOff>0</xdr:rowOff>
        </xdr:from>
        <xdr:to>
          <xdr:col>4</xdr:col>
          <xdr:colOff>228600</xdr:colOff>
          <xdr:row>217</xdr:row>
          <xdr:rowOff>142875</xdr:rowOff>
        </xdr:to>
        <xdr:sp macro="" textlink="">
          <xdr:nvSpPr>
            <xdr:cNvPr id="3369" name="Check Box 297" hidden="1">
              <a:extLst>
                <a:ext uri="{63B3BB69-23CF-44E3-9099-C40C66FF867C}">
                  <a14:compatExt spid="_x0000_s3369"/>
                </a:ext>
                <a:ext uri="{FF2B5EF4-FFF2-40B4-BE49-F238E27FC236}">
                  <a16:creationId xmlns:a16="http://schemas.microsoft.com/office/drawing/2014/main" id="{00000000-0008-0000-0200-000029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218</xdr:row>
          <xdr:rowOff>0</xdr:rowOff>
        </xdr:from>
        <xdr:to>
          <xdr:col>4</xdr:col>
          <xdr:colOff>228600</xdr:colOff>
          <xdr:row>218</xdr:row>
          <xdr:rowOff>142875</xdr:rowOff>
        </xdr:to>
        <xdr:sp macro="" textlink="">
          <xdr:nvSpPr>
            <xdr:cNvPr id="3370" name="Check Box 298" hidden="1">
              <a:extLst>
                <a:ext uri="{63B3BB69-23CF-44E3-9099-C40C66FF867C}">
                  <a14:compatExt spid="_x0000_s3370"/>
                </a:ext>
                <a:ext uri="{FF2B5EF4-FFF2-40B4-BE49-F238E27FC236}">
                  <a16:creationId xmlns:a16="http://schemas.microsoft.com/office/drawing/2014/main" id="{00000000-0008-0000-0200-00002A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219</xdr:row>
          <xdr:rowOff>0</xdr:rowOff>
        </xdr:from>
        <xdr:to>
          <xdr:col>4</xdr:col>
          <xdr:colOff>228600</xdr:colOff>
          <xdr:row>219</xdr:row>
          <xdr:rowOff>142875</xdr:rowOff>
        </xdr:to>
        <xdr:sp macro="" textlink="">
          <xdr:nvSpPr>
            <xdr:cNvPr id="3371" name="Check Box 299" hidden="1">
              <a:extLst>
                <a:ext uri="{63B3BB69-23CF-44E3-9099-C40C66FF867C}">
                  <a14:compatExt spid="_x0000_s3371"/>
                </a:ext>
                <a:ext uri="{FF2B5EF4-FFF2-40B4-BE49-F238E27FC236}">
                  <a16:creationId xmlns:a16="http://schemas.microsoft.com/office/drawing/2014/main" id="{00000000-0008-0000-0200-00002B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224</xdr:row>
          <xdr:rowOff>0</xdr:rowOff>
        </xdr:from>
        <xdr:to>
          <xdr:col>4</xdr:col>
          <xdr:colOff>228600</xdr:colOff>
          <xdr:row>224</xdr:row>
          <xdr:rowOff>142875</xdr:rowOff>
        </xdr:to>
        <xdr:sp macro="" textlink="">
          <xdr:nvSpPr>
            <xdr:cNvPr id="3372" name="Check Box 300" hidden="1">
              <a:extLst>
                <a:ext uri="{63B3BB69-23CF-44E3-9099-C40C66FF867C}">
                  <a14:compatExt spid="_x0000_s3372"/>
                </a:ext>
                <a:ext uri="{FF2B5EF4-FFF2-40B4-BE49-F238E27FC236}">
                  <a16:creationId xmlns:a16="http://schemas.microsoft.com/office/drawing/2014/main" id="{00000000-0008-0000-0200-00002C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225</xdr:row>
          <xdr:rowOff>0</xdr:rowOff>
        </xdr:from>
        <xdr:to>
          <xdr:col>4</xdr:col>
          <xdr:colOff>228600</xdr:colOff>
          <xdr:row>225</xdr:row>
          <xdr:rowOff>142875</xdr:rowOff>
        </xdr:to>
        <xdr:sp macro="" textlink="">
          <xdr:nvSpPr>
            <xdr:cNvPr id="3373" name="Check Box 301" hidden="1">
              <a:extLst>
                <a:ext uri="{63B3BB69-23CF-44E3-9099-C40C66FF867C}">
                  <a14:compatExt spid="_x0000_s3373"/>
                </a:ext>
                <a:ext uri="{FF2B5EF4-FFF2-40B4-BE49-F238E27FC236}">
                  <a16:creationId xmlns:a16="http://schemas.microsoft.com/office/drawing/2014/main" id="{00000000-0008-0000-0200-00002D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248</xdr:row>
          <xdr:rowOff>0</xdr:rowOff>
        </xdr:from>
        <xdr:to>
          <xdr:col>4</xdr:col>
          <xdr:colOff>228600</xdr:colOff>
          <xdr:row>248</xdr:row>
          <xdr:rowOff>142875</xdr:rowOff>
        </xdr:to>
        <xdr:sp macro="" textlink="">
          <xdr:nvSpPr>
            <xdr:cNvPr id="3374" name="Check Box 302" hidden="1">
              <a:extLst>
                <a:ext uri="{63B3BB69-23CF-44E3-9099-C40C66FF867C}">
                  <a14:compatExt spid="_x0000_s3374"/>
                </a:ext>
                <a:ext uri="{FF2B5EF4-FFF2-40B4-BE49-F238E27FC236}">
                  <a16:creationId xmlns:a16="http://schemas.microsoft.com/office/drawing/2014/main" id="{00000000-0008-0000-0200-00002E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249</xdr:row>
          <xdr:rowOff>0</xdr:rowOff>
        </xdr:from>
        <xdr:to>
          <xdr:col>4</xdr:col>
          <xdr:colOff>228600</xdr:colOff>
          <xdr:row>249</xdr:row>
          <xdr:rowOff>142875</xdr:rowOff>
        </xdr:to>
        <xdr:sp macro="" textlink="">
          <xdr:nvSpPr>
            <xdr:cNvPr id="3375" name="Check Box 303" hidden="1">
              <a:extLst>
                <a:ext uri="{63B3BB69-23CF-44E3-9099-C40C66FF867C}">
                  <a14:compatExt spid="_x0000_s3375"/>
                </a:ext>
                <a:ext uri="{FF2B5EF4-FFF2-40B4-BE49-F238E27FC236}">
                  <a16:creationId xmlns:a16="http://schemas.microsoft.com/office/drawing/2014/main" id="{00000000-0008-0000-0200-00002F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250</xdr:row>
          <xdr:rowOff>0</xdr:rowOff>
        </xdr:from>
        <xdr:to>
          <xdr:col>4</xdr:col>
          <xdr:colOff>228600</xdr:colOff>
          <xdr:row>250</xdr:row>
          <xdr:rowOff>142875</xdr:rowOff>
        </xdr:to>
        <xdr:sp macro="" textlink="">
          <xdr:nvSpPr>
            <xdr:cNvPr id="3376" name="Check Box 304" hidden="1">
              <a:extLst>
                <a:ext uri="{63B3BB69-23CF-44E3-9099-C40C66FF867C}">
                  <a14:compatExt spid="_x0000_s3376"/>
                </a:ext>
                <a:ext uri="{FF2B5EF4-FFF2-40B4-BE49-F238E27FC236}">
                  <a16:creationId xmlns:a16="http://schemas.microsoft.com/office/drawing/2014/main" id="{00000000-0008-0000-0200-000030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251</xdr:row>
          <xdr:rowOff>0</xdr:rowOff>
        </xdr:from>
        <xdr:to>
          <xdr:col>4</xdr:col>
          <xdr:colOff>228600</xdr:colOff>
          <xdr:row>251</xdr:row>
          <xdr:rowOff>142875</xdr:rowOff>
        </xdr:to>
        <xdr:sp macro="" textlink="">
          <xdr:nvSpPr>
            <xdr:cNvPr id="3377" name="Check Box 305" hidden="1">
              <a:extLst>
                <a:ext uri="{63B3BB69-23CF-44E3-9099-C40C66FF867C}">
                  <a14:compatExt spid="_x0000_s3377"/>
                </a:ext>
                <a:ext uri="{FF2B5EF4-FFF2-40B4-BE49-F238E27FC236}">
                  <a16:creationId xmlns:a16="http://schemas.microsoft.com/office/drawing/2014/main" id="{00000000-0008-0000-0200-000031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292</xdr:row>
          <xdr:rowOff>0</xdr:rowOff>
        </xdr:from>
        <xdr:to>
          <xdr:col>4</xdr:col>
          <xdr:colOff>228600</xdr:colOff>
          <xdr:row>292</xdr:row>
          <xdr:rowOff>142875</xdr:rowOff>
        </xdr:to>
        <xdr:sp macro="" textlink="">
          <xdr:nvSpPr>
            <xdr:cNvPr id="3378" name="Check Box 306" hidden="1">
              <a:extLst>
                <a:ext uri="{63B3BB69-23CF-44E3-9099-C40C66FF867C}">
                  <a14:compatExt spid="_x0000_s3378"/>
                </a:ext>
                <a:ext uri="{FF2B5EF4-FFF2-40B4-BE49-F238E27FC236}">
                  <a16:creationId xmlns:a16="http://schemas.microsoft.com/office/drawing/2014/main" id="{00000000-0008-0000-0200-000032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293</xdr:row>
          <xdr:rowOff>0</xdr:rowOff>
        </xdr:from>
        <xdr:to>
          <xdr:col>4</xdr:col>
          <xdr:colOff>228600</xdr:colOff>
          <xdr:row>293</xdr:row>
          <xdr:rowOff>142875</xdr:rowOff>
        </xdr:to>
        <xdr:sp macro="" textlink="">
          <xdr:nvSpPr>
            <xdr:cNvPr id="3379" name="Check Box 307" hidden="1">
              <a:extLst>
                <a:ext uri="{63B3BB69-23CF-44E3-9099-C40C66FF867C}">
                  <a14:compatExt spid="_x0000_s3379"/>
                </a:ext>
                <a:ext uri="{FF2B5EF4-FFF2-40B4-BE49-F238E27FC236}">
                  <a16:creationId xmlns:a16="http://schemas.microsoft.com/office/drawing/2014/main" id="{00000000-0008-0000-0200-000033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294</xdr:row>
          <xdr:rowOff>0</xdr:rowOff>
        </xdr:from>
        <xdr:to>
          <xdr:col>4</xdr:col>
          <xdr:colOff>228600</xdr:colOff>
          <xdr:row>294</xdr:row>
          <xdr:rowOff>142875</xdr:rowOff>
        </xdr:to>
        <xdr:sp macro="" textlink="">
          <xdr:nvSpPr>
            <xdr:cNvPr id="3380" name="Check Box 308" hidden="1">
              <a:extLst>
                <a:ext uri="{63B3BB69-23CF-44E3-9099-C40C66FF867C}">
                  <a14:compatExt spid="_x0000_s3380"/>
                </a:ext>
                <a:ext uri="{FF2B5EF4-FFF2-40B4-BE49-F238E27FC236}">
                  <a16:creationId xmlns:a16="http://schemas.microsoft.com/office/drawing/2014/main" id="{00000000-0008-0000-0200-000034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295</xdr:row>
          <xdr:rowOff>0</xdr:rowOff>
        </xdr:from>
        <xdr:to>
          <xdr:col>4</xdr:col>
          <xdr:colOff>228600</xdr:colOff>
          <xdr:row>295</xdr:row>
          <xdr:rowOff>142875</xdr:rowOff>
        </xdr:to>
        <xdr:sp macro="" textlink="">
          <xdr:nvSpPr>
            <xdr:cNvPr id="3381" name="Check Box 309" hidden="1">
              <a:extLst>
                <a:ext uri="{63B3BB69-23CF-44E3-9099-C40C66FF867C}">
                  <a14:compatExt spid="_x0000_s3381"/>
                </a:ext>
                <a:ext uri="{FF2B5EF4-FFF2-40B4-BE49-F238E27FC236}">
                  <a16:creationId xmlns:a16="http://schemas.microsoft.com/office/drawing/2014/main" id="{00000000-0008-0000-0200-000035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215</xdr:row>
          <xdr:rowOff>0</xdr:rowOff>
        </xdr:from>
        <xdr:to>
          <xdr:col>4</xdr:col>
          <xdr:colOff>228600</xdr:colOff>
          <xdr:row>215</xdr:row>
          <xdr:rowOff>142875</xdr:rowOff>
        </xdr:to>
        <xdr:sp macro="" textlink="">
          <xdr:nvSpPr>
            <xdr:cNvPr id="3382" name="Check Box 310" hidden="1">
              <a:extLst>
                <a:ext uri="{63B3BB69-23CF-44E3-9099-C40C66FF867C}">
                  <a14:compatExt spid="_x0000_s3382"/>
                </a:ext>
                <a:ext uri="{FF2B5EF4-FFF2-40B4-BE49-F238E27FC236}">
                  <a16:creationId xmlns:a16="http://schemas.microsoft.com/office/drawing/2014/main" id="{00000000-0008-0000-0200-000036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170</xdr:row>
          <xdr:rowOff>0</xdr:rowOff>
        </xdr:from>
        <xdr:to>
          <xdr:col>4</xdr:col>
          <xdr:colOff>228600</xdr:colOff>
          <xdr:row>170</xdr:row>
          <xdr:rowOff>142875</xdr:rowOff>
        </xdr:to>
        <xdr:sp macro="" textlink="">
          <xdr:nvSpPr>
            <xdr:cNvPr id="3383" name="Check Box 311" hidden="1">
              <a:extLst>
                <a:ext uri="{63B3BB69-23CF-44E3-9099-C40C66FF867C}">
                  <a14:compatExt spid="_x0000_s3383"/>
                </a:ext>
                <a:ext uri="{FF2B5EF4-FFF2-40B4-BE49-F238E27FC236}">
                  <a16:creationId xmlns:a16="http://schemas.microsoft.com/office/drawing/2014/main" id="{00000000-0008-0000-0200-000037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171</xdr:row>
          <xdr:rowOff>0</xdr:rowOff>
        </xdr:from>
        <xdr:to>
          <xdr:col>4</xdr:col>
          <xdr:colOff>228600</xdr:colOff>
          <xdr:row>171</xdr:row>
          <xdr:rowOff>142875</xdr:rowOff>
        </xdr:to>
        <xdr:sp macro="" textlink="">
          <xdr:nvSpPr>
            <xdr:cNvPr id="3384" name="Check Box 312" hidden="1">
              <a:extLst>
                <a:ext uri="{63B3BB69-23CF-44E3-9099-C40C66FF867C}">
                  <a14:compatExt spid="_x0000_s3384"/>
                </a:ext>
                <a:ext uri="{FF2B5EF4-FFF2-40B4-BE49-F238E27FC236}">
                  <a16:creationId xmlns:a16="http://schemas.microsoft.com/office/drawing/2014/main" id="{00000000-0008-0000-0200-000038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212</xdr:row>
          <xdr:rowOff>0</xdr:rowOff>
        </xdr:from>
        <xdr:to>
          <xdr:col>4</xdr:col>
          <xdr:colOff>228600</xdr:colOff>
          <xdr:row>212</xdr:row>
          <xdr:rowOff>142875</xdr:rowOff>
        </xdr:to>
        <xdr:sp macro="" textlink="">
          <xdr:nvSpPr>
            <xdr:cNvPr id="3385" name="Check Box 313" hidden="1">
              <a:extLst>
                <a:ext uri="{63B3BB69-23CF-44E3-9099-C40C66FF867C}">
                  <a14:compatExt spid="_x0000_s3385"/>
                </a:ext>
                <a:ext uri="{FF2B5EF4-FFF2-40B4-BE49-F238E27FC236}">
                  <a16:creationId xmlns:a16="http://schemas.microsoft.com/office/drawing/2014/main" id="{00000000-0008-0000-0200-000039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213</xdr:row>
          <xdr:rowOff>0</xdr:rowOff>
        </xdr:from>
        <xdr:to>
          <xdr:col>4</xdr:col>
          <xdr:colOff>228600</xdr:colOff>
          <xdr:row>213</xdr:row>
          <xdr:rowOff>142875</xdr:rowOff>
        </xdr:to>
        <xdr:sp macro="" textlink="">
          <xdr:nvSpPr>
            <xdr:cNvPr id="3386" name="Check Box 314" hidden="1">
              <a:extLst>
                <a:ext uri="{63B3BB69-23CF-44E3-9099-C40C66FF867C}">
                  <a14:compatExt spid="_x0000_s3386"/>
                </a:ext>
                <a:ext uri="{FF2B5EF4-FFF2-40B4-BE49-F238E27FC236}">
                  <a16:creationId xmlns:a16="http://schemas.microsoft.com/office/drawing/2014/main" id="{00000000-0008-0000-0200-00003A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214</xdr:row>
          <xdr:rowOff>0</xdr:rowOff>
        </xdr:from>
        <xdr:to>
          <xdr:col>4</xdr:col>
          <xdr:colOff>228600</xdr:colOff>
          <xdr:row>214</xdr:row>
          <xdr:rowOff>142875</xdr:rowOff>
        </xdr:to>
        <xdr:sp macro="" textlink="">
          <xdr:nvSpPr>
            <xdr:cNvPr id="3387" name="Check Box 315" hidden="1">
              <a:extLst>
                <a:ext uri="{63B3BB69-23CF-44E3-9099-C40C66FF867C}">
                  <a14:compatExt spid="_x0000_s3387"/>
                </a:ext>
                <a:ext uri="{FF2B5EF4-FFF2-40B4-BE49-F238E27FC236}">
                  <a16:creationId xmlns:a16="http://schemas.microsoft.com/office/drawing/2014/main" id="{00000000-0008-0000-0200-00003B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215</xdr:row>
          <xdr:rowOff>0</xdr:rowOff>
        </xdr:from>
        <xdr:to>
          <xdr:col>4</xdr:col>
          <xdr:colOff>228600</xdr:colOff>
          <xdr:row>215</xdr:row>
          <xdr:rowOff>142875</xdr:rowOff>
        </xdr:to>
        <xdr:sp macro="" textlink="">
          <xdr:nvSpPr>
            <xdr:cNvPr id="3388" name="Check Box 316" hidden="1">
              <a:extLst>
                <a:ext uri="{63B3BB69-23CF-44E3-9099-C40C66FF867C}">
                  <a14:compatExt spid="_x0000_s3388"/>
                </a:ext>
                <a:ext uri="{FF2B5EF4-FFF2-40B4-BE49-F238E27FC236}">
                  <a16:creationId xmlns:a16="http://schemas.microsoft.com/office/drawing/2014/main" id="{00000000-0008-0000-0200-00003C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169</xdr:row>
          <xdr:rowOff>0</xdr:rowOff>
        </xdr:from>
        <xdr:to>
          <xdr:col>4</xdr:col>
          <xdr:colOff>228600</xdr:colOff>
          <xdr:row>169</xdr:row>
          <xdr:rowOff>142875</xdr:rowOff>
        </xdr:to>
        <xdr:sp macro="" textlink="">
          <xdr:nvSpPr>
            <xdr:cNvPr id="3389" name="Check Box 317" hidden="1">
              <a:extLst>
                <a:ext uri="{63B3BB69-23CF-44E3-9099-C40C66FF867C}">
                  <a14:compatExt spid="_x0000_s3389"/>
                </a:ext>
                <a:ext uri="{FF2B5EF4-FFF2-40B4-BE49-F238E27FC236}">
                  <a16:creationId xmlns:a16="http://schemas.microsoft.com/office/drawing/2014/main" id="{00000000-0008-0000-0200-00003D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168</xdr:row>
          <xdr:rowOff>0</xdr:rowOff>
        </xdr:from>
        <xdr:to>
          <xdr:col>4</xdr:col>
          <xdr:colOff>228600</xdr:colOff>
          <xdr:row>168</xdr:row>
          <xdr:rowOff>142875</xdr:rowOff>
        </xdr:to>
        <xdr:sp macro="" textlink="">
          <xdr:nvSpPr>
            <xdr:cNvPr id="3390" name="Check Box 318" hidden="1">
              <a:extLst>
                <a:ext uri="{63B3BB69-23CF-44E3-9099-C40C66FF867C}">
                  <a14:compatExt spid="_x0000_s3390"/>
                </a:ext>
                <a:ext uri="{FF2B5EF4-FFF2-40B4-BE49-F238E27FC236}">
                  <a16:creationId xmlns:a16="http://schemas.microsoft.com/office/drawing/2014/main" id="{00000000-0008-0000-0200-00003E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169</xdr:row>
          <xdr:rowOff>0</xdr:rowOff>
        </xdr:from>
        <xdr:to>
          <xdr:col>4</xdr:col>
          <xdr:colOff>228600</xdr:colOff>
          <xdr:row>169</xdr:row>
          <xdr:rowOff>142875</xdr:rowOff>
        </xdr:to>
        <xdr:sp macro="" textlink="">
          <xdr:nvSpPr>
            <xdr:cNvPr id="3391" name="Check Box 319" hidden="1">
              <a:extLst>
                <a:ext uri="{63B3BB69-23CF-44E3-9099-C40C66FF867C}">
                  <a14:compatExt spid="_x0000_s3391"/>
                </a:ext>
                <a:ext uri="{FF2B5EF4-FFF2-40B4-BE49-F238E27FC236}">
                  <a16:creationId xmlns:a16="http://schemas.microsoft.com/office/drawing/2014/main" id="{00000000-0008-0000-0200-00003F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167</xdr:row>
          <xdr:rowOff>0</xdr:rowOff>
        </xdr:from>
        <xdr:to>
          <xdr:col>4</xdr:col>
          <xdr:colOff>228600</xdr:colOff>
          <xdr:row>167</xdr:row>
          <xdr:rowOff>142875</xdr:rowOff>
        </xdr:to>
        <xdr:sp macro="" textlink="">
          <xdr:nvSpPr>
            <xdr:cNvPr id="3392" name="Check Box 320" hidden="1">
              <a:extLst>
                <a:ext uri="{63B3BB69-23CF-44E3-9099-C40C66FF867C}">
                  <a14:compatExt spid="_x0000_s3392"/>
                </a:ext>
                <a:ext uri="{FF2B5EF4-FFF2-40B4-BE49-F238E27FC236}">
                  <a16:creationId xmlns:a16="http://schemas.microsoft.com/office/drawing/2014/main" id="{00000000-0008-0000-0200-000040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156</xdr:row>
          <xdr:rowOff>0</xdr:rowOff>
        </xdr:from>
        <xdr:to>
          <xdr:col>4</xdr:col>
          <xdr:colOff>228600</xdr:colOff>
          <xdr:row>156</xdr:row>
          <xdr:rowOff>142875</xdr:rowOff>
        </xdr:to>
        <xdr:sp macro="" textlink="">
          <xdr:nvSpPr>
            <xdr:cNvPr id="3393" name="Check Box 321" hidden="1">
              <a:extLst>
                <a:ext uri="{63B3BB69-23CF-44E3-9099-C40C66FF867C}">
                  <a14:compatExt spid="_x0000_s3393"/>
                </a:ext>
                <a:ext uri="{FF2B5EF4-FFF2-40B4-BE49-F238E27FC236}">
                  <a16:creationId xmlns:a16="http://schemas.microsoft.com/office/drawing/2014/main" id="{00000000-0008-0000-0200-000041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157</xdr:row>
          <xdr:rowOff>0</xdr:rowOff>
        </xdr:from>
        <xdr:to>
          <xdr:col>4</xdr:col>
          <xdr:colOff>228600</xdr:colOff>
          <xdr:row>157</xdr:row>
          <xdr:rowOff>142875</xdr:rowOff>
        </xdr:to>
        <xdr:sp macro="" textlink="">
          <xdr:nvSpPr>
            <xdr:cNvPr id="3394" name="Check Box 322" hidden="1">
              <a:extLst>
                <a:ext uri="{63B3BB69-23CF-44E3-9099-C40C66FF867C}">
                  <a14:compatExt spid="_x0000_s3394"/>
                </a:ext>
                <a:ext uri="{FF2B5EF4-FFF2-40B4-BE49-F238E27FC236}">
                  <a16:creationId xmlns:a16="http://schemas.microsoft.com/office/drawing/2014/main" id="{00000000-0008-0000-0200-000042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164</xdr:row>
          <xdr:rowOff>0</xdr:rowOff>
        </xdr:from>
        <xdr:to>
          <xdr:col>4</xdr:col>
          <xdr:colOff>228600</xdr:colOff>
          <xdr:row>164</xdr:row>
          <xdr:rowOff>142875</xdr:rowOff>
        </xdr:to>
        <xdr:sp macro="" textlink="">
          <xdr:nvSpPr>
            <xdr:cNvPr id="3395" name="Check Box 323" hidden="1">
              <a:extLst>
                <a:ext uri="{63B3BB69-23CF-44E3-9099-C40C66FF867C}">
                  <a14:compatExt spid="_x0000_s3395"/>
                </a:ext>
                <a:ext uri="{FF2B5EF4-FFF2-40B4-BE49-F238E27FC236}">
                  <a16:creationId xmlns:a16="http://schemas.microsoft.com/office/drawing/2014/main" id="{00000000-0008-0000-0200-000043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165</xdr:row>
          <xdr:rowOff>0</xdr:rowOff>
        </xdr:from>
        <xdr:to>
          <xdr:col>4</xdr:col>
          <xdr:colOff>228600</xdr:colOff>
          <xdr:row>165</xdr:row>
          <xdr:rowOff>142875</xdr:rowOff>
        </xdr:to>
        <xdr:sp macro="" textlink="">
          <xdr:nvSpPr>
            <xdr:cNvPr id="3396" name="Check Box 324" hidden="1">
              <a:extLst>
                <a:ext uri="{63B3BB69-23CF-44E3-9099-C40C66FF867C}">
                  <a14:compatExt spid="_x0000_s3396"/>
                </a:ext>
                <a:ext uri="{FF2B5EF4-FFF2-40B4-BE49-F238E27FC236}">
                  <a16:creationId xmlns:a16="http://schemas.microsoft.com/office/drawing/2014/main" id="{00000000-0008-0000-0200-000044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166</xdr:row>
          <xdr:rowOff>0</xdr:rowOff>
        </xdr:from>
        <xdr:to>
          <xdr:col>4</xdr:col>
          <xdr:colOff>228600</xdr:colOff>
          <xdr:row>166</xdr:row>
          <xdr:rowOff>142875</xdr:rowOff>
        </xdr:to>
        <xdr:sp macro="" textlink="">
          <xdr:nvSpPr>
            <xdr:cNvPr id="3397" name="Check Box 325" hidden="1">
              <a:extLst>
                <a:ext uri="{63B3BB69-23CF-44E3-9099-C40C66FF867C}">
                  <a14:compatExt spid="_x0000_s3397"/>
                </a:ext>
                <a:ext uri="{FF2B5EF4-FFF2-40B4-BE49-F238E27FC236}">
                  <a16:creationId xmlns:a16="http://schemas.microsoft.com/office/drawing/2014/main" id="{00000000-0008-0000-0200-000045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167</xdr:row>
          <xdr:rowOff>0</xdr:rowOff>
        </xdr:from>
        <xdr:to>
          <xdr:col>4</xdr:col>
          <xdr:colOff>228600</xdr:colOff>
          <xdr:row>167</xdr:row>
          <xdr:rowOff>142875</xdr:rowOff>
        </xdr:to>
        <xdr:sp macro="" textlink="">
          <xdr:nvSpPr>
            <xdr:cNvPr id="3398" name="Check Box 326" hidden="1">
              <a:extLst>
                <a:ext uri="{63B3BB69-23CF-44E3-9099-C40C66FF867C}">
                  <a14:compatExt spid="_x0000_s3398"/>
                </a:ext>
                <a:ext uri="{FF2B5EF4-FFF2-40B4-BE49-F238E27FC236}">
                  <a16:creationId xmlns:a16="http://schemas.microsoft.com/office/drawing/2014/main" id="{00000000-0008-0000-0200-000046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82</xdr:row>
          <xdr:rowOff>0</xdr:rowOff>
        </xdr:from>
        <xdr:to>
          <xdr:col>4</xdr:col>
          <xdr:colOff>228600</xdr:colOff>
          <xdr:row>82</xdr:row>
          <xdr:rowOff>142875</xdr:rowOff>
        </xdr:to>
        <xdr:sp macro="" textlink="">
          <xdr:nvSpPr>
            <xdr:cNvPr id="3402" name="Check Box 330" hidden="1">
              <a:extLst>
                <a:ext uri="{63B3BB69-23CF-44E3-9099-C40C66FF867C}">
                  <a14:compatExt spid="_x0000_s3402"/>
                </a:ext>
                <a:ext uri="{FF2B5EF4-FFF2-40B4-BE49-F238E27FC236}">
                  <a16:creationId xmlns:a16="http://schemas.microsoft.com/office/drawing/2014/main" id="{00000000-0008-0000-0200-00004A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83</xdr:row>
          <xdr:rowOff>0</xdr:rowOff>
        </xdr:from>
        <xdr:to>
          <xdr:col>4</xdr:col>
          <xdr:colOff>228600</xdr:colOff>
          <xdr:row>83</xdr:row>
          <xdr:rowOff>142875</xdr:rowOff>
        </xdr:to>
        <xdr:sp macro="" textlink="">
          <xdr:nvSpPr>
            <xdr:cNvPr id="3403" name="Check Box 331" hidden="1">
              <a:extLst>
                <a:ext uri="{63B3BB69-23CF-44E3-9099-C40C66FF867C}">
                  <a14:compatExt spid="_x0000_s3403"/>
                </a:ext>
                <a:ext uri="{FF2B5EF4-FFF2-40B4-BE49-F238E27FC236}">
                  <a16:creationId xmlns:a16="http://schemas.microsoft.com/office/drawing/2014/main" id="{00000000-0008-0000-0200-00004B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84</xdr:row>
          <xdr:rowOff>0</xdr:rowOff>
        </xdr:from>
        <xdr:to>
          <xdr:col>4</xdr:col>
          <xdr:colOff>228600</xdr:colOff>
          <xdr:row>84</xdr:row>
          <xdr:rowOff>142875</xdr:rowOff>
        </xdr:to>
        <xdr:sp macro="" textlink="">
          <xdr:nvSpPr>
            <xdr:cNvPr id="3404" name="Check Box 332" hidden="1">
              <a:extLst>
                <a:ext uri="{63B3BB69-23CF-44E3-9099-C40C66FF867C}">
                  <a14:compatExt spid="_x0000_s3404"/>
                </a:ext>
                <a:ext uri="{FF2B5EF4-FFF2-40B4-BE49-F238E27FC236}">
                  <a16:creationId xmlns:a16="http://schemas.microsoft.com/office/drawing/2014/main" id="{00000000-0008-0000-0200-00004C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85</xdr:row>
          <xdr:rowOff>0</xdr:rowOff>
        </xdr:from>
        <xdr:to>
          <xdr:col>4</xdr:col>
          <xdr:colOff>228600</xdr:colOff>
          <xdr:row>85</xdr:row>
          <xdr:rowOff>142875</xdr:rowOff>
        </xdr:to>
        <xdr:sp macro="" textlink="">
          <xdr:nvSpPr>
            <xdr:cNvPr id="3405" name="Check Box 333" hidden="1">
              <a:extLst>
                <a:ext uri="{63B3BB69-23CF-44E3-9099-C40C66FF867C}">
                  <a14:compatExt spid="_x0000_s3405"/>
                </a:ext>
                <a:ext uri="{FF2B5EF4-FFF2-40B4-BE49-F238E27FC236}">
                  <a16:creationId xmlns:a16="http://schemas.microsoft.com/office/drawing/2014/main" id="{00000000-0008-0000-0200-00004D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86</xdr:row>
          <xdr:rowOff>0</xdr:rowOff>
        </xdr:from>
        <xdr:to>
          <xdr:col>4</xdr:col>
          <xdr:colOff>228600</xdr:colOff>
          <xdr:row>86</xdr:row>
          <xdr:rowOff>142875</xdr:rowOff>
        </xdr:to>
        <xdr:sp macro="" textlink="">
          <xdr:nvSpPr>
            <xdr:cNvPr id="3406" name="Check Box 334" hidden="1">
              <a:extLst>
                <a:ext uri="{63B3BB69-23CF-44E3-9099-C40C66FF867C}">
                  <a14:compatExt spid="_x0000_s3406"/>
                </a:ext>
                <a:ext uri="{FF2B5EF4-FFF2-40B4-BE49-F238E27FC236}">
                  <a16:creationId xmlns:a16="http://schemas.microsoft.com/office/drawing/2014/main" id="{00000000-0008-0000-0200-00004E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87</xdr:row>
          <xdr:rowOff>0</xdr:rowOff>
        </xdr:from>
        <xdr:to>
          <xdr:col>4</xdr:col>
          <xdr:colOff>228600</xdr:colOff>
          <xdr:row>87</xdr:row>
          <xdr:rowOff>142875</xdr:rowOff>
        </xdr:to>
        <xdr:sp macro="" textlink="">
          <xdr:nvSpPr>
            <xdr:cNvPr id="3407" name="Check Box 335" hidden="1">
              <a:extLst>
                <a:ext uri="{63B3BB69-23CF-44E3-9099-C40C66FF867C}">
                  <a14:compatExt spid="_x0000_s3407"/>
                </a:ext>
                <a:ext uri="{FF2B5EF4-FFF2-40B4-BE49-F238E27FC236}">
                  <a16:creationId xmlns:a16="http://schemas.microsoft.com/office/drawing/2014/main" id="{00000000-0008-0000-0200-00004F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88</xdr:row>
          <xdr:rowOff>0</xdr:rowOff>
        </xdr:from>
        <xdr:to>
          <xdr:col>4</xdr:col>
          <xdr:colOff>228600</xdr:colOff>
          <xdr:row>88</xdr:row>
          <xdr:rowOff>142875</xdr:rowOff>
        </xdr:to>
        <xdr:sp macro="" textlink="">
          <xdr:nvSpPr>
            <xdr:cNvPr id="3408" name="Check Box 336" hidden="1">
              <a:extLst>
                <a:ext uri="{63B3BB69-23CF-44E3-9099-C40C66FF867C}">
                  <a14:compatExt spid="_x0000_s3408"/>
                </a:ext>
                <a:ext uri="{FF2B5EF4-FFF2-40B4-BE49-F238E27FC236}">
                  <a16:creationId xmlns:a16="http://schemas.microsoft.com/office/drawing/2014/main" id="{00000000-0008-0000-0200-000050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89</xdr:row>
          <xdr:rowOff>0</xdr:rowOff>
        </xdr:from>
        <xdr:to>
          <xdr:col>4</xdr:col>
          <xdr:colOff>228600</xdr:colOff>
          <xdr:row>89</xdr:row>
          <xdr:rowOff>142875</xdr:rowOff>
        </xdr:to>
        <xdr:sp macro="" textlink="">
          <xdr:nvSpPr>
            <xdr:cNvPr id="3409" name="Check Box 337" hidden="1">
              <a:extLst>
                <a:ext uri="{63B3BB69-23CF-44E3-9099-C40C66FF867C}">
                  <a14:compatExt spid="_x0000_s3409"/>
                </a:ext>
                <a:ext uri="{FF2B5EF4-FFF2-40B4-BE49-F238E27FC236}">
                  <a16:creationId xmlns:a16="http://schemas.microsoft.com/office/drawing/2014/main" id="{00000000-0008-0000-0200-000051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173</xdr:row>
          <xdr:rowOff>0</xdr:rowOff>
        </xdr:from>
        <xdr:to>
          <xdr:col>4</xdr:col>
          <xdr:colOff>228600</xdr:colOff>
          <xdr:row>173</xdr:row>
          <xdr:rowOff>142875</xdr:rowOff>
        </xdr:to>
        <xdr:sp macro="" textlink="">
          <xdr:nvSpPr>
            <xdr:cNvPr id="3412" name="Check Box 340" hidden="1">
              <a:extLst>
                <a:ext uri="{63B3BB69-23CF-44E3-9099-C40C66FF867C}">
                  <a14:compatExt spid="_x0000_s3412"/>
                </a:ext>
                <a:ext uri="{FF2B5EF4-FFF2-40B4-BE49-F238E27FC236}">
                  <a16:creationId xmlns:a16="http://schemas.microsoft.com/office/drawing/2014/main" id="{00000000-0008-0000-0200-000054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312</xdr:row>
          <xdr:rowOff>0</xdr:rowOff>
        </xdr:from>
        <xdr:to>
          <xdr:col>4</xdr:col>
          <xdr:colOff>228600</xdr:colOff>
          <xdr:row>312</xdr:row>
          <xdr:rowOff>142875</xdr:rowOff>
        </xdr:to>
        <xdr:sp macro="" textlink="">
          <xdr:nvSpPr>
            <xdr:cNvPr id="3413" name="Check Box 341" hidden="1">
              <a:extLst>
                <a:ext uri="{63B3BB69-23CF-44E3-9099-C40C66FF867C}">
                  <a14:compatExt spid="_x0000_s3413"/>
                </a:ext>
                <a:ext uri="{FF2B5EF4-FFF2-40B4-BE49-F238E27FC236}">
                  <a16:creationId xmlns:a16="http://schemas.microsoft.com/office/drawing/2014/main" id="{00000000-0008-0000-0200-000055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313</xdr:row>
          <xdr:rowOff>0</xdr:rowOff>
        </xdr:from>
        <xdr:to>
          <xdr:col>4</xdr:col>
          <xdr:colOff>228600</xdr:colOff>
          <xdr:row>313</xdr:row>
          <xdr:rowOff>142875</xdr:rowOff>
        </xdr:to>
        <xdr:sp macro="" textlink="">
          <xdr:nvSpPr>
            <xdr:cNvPr id="3414" name="Check Box 342" hidden="1">
              <a:extLst>
                <a:ext uri="{63B3BB69-23CF-44E3-9099-C40C66FF867C}">
                  <a14:compatExt spid="_x0000_s3414"/>
                </a:ext>
                <a:ext uri="{FF2B5EF4-FFF2-40B4-BE49-F238E27FC236}">
                  <a16:creationId xmlns:a16="http://schemas.microsoft.com/office/drawing/2014/main" id="{00000000-0008-0000-0200-000056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314</xdr:row>
          <xdr:rowOff>0</xdr:rowOff>
        </xdr:from>
        <xdr:to>
          <xdr:col>4</xdr:col>
          <xdr:colOff>228600</xdr:colOff>
          <xdr:row>314</xdr:row>
          <xdr:rowOff>142875</xdr:rowOff>
        </xdr:to>
        <xdr:sp macro="" textlink="">
          <xdr:nvSpPr>
            <xdr:cNvPr id="3415" name="Check Box 343" hidden="1">
              <a:extLst>
                <a:ext uri="{63B3BB69-23CF-44E3-9099-C40C66FF867C}">
                  <a14:compatExt spid="_x0000_s3415"/>
                </a:ext>
                <a:ext uri="{FF2B5EF4-FFF2-40B4-BE49-F238E27FC236}">
                  <a16:creationId xmlns:a16="http://schemas.microsoft.com/office/drawing/2014/main" id="{00000000-0008-0000-0200-000057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315</xdr:row>
          <xdr:rowOff>0</xdr:rowOff>
        </xdr:from>
        <xdr:to>
          <xdr:col>4</xdr:col>
          <xdr:colOff>228600</xdr:colOff>
          <xdr:row>315</xdr:row>
          <xdr:rowOff>142875</xdr:rowOff>
        </xdr:to>
        <xdr:sp macro="" textlink="">
          <xdr:nvSpPr>
            <xdr:cNvPr id="3416" name="Check Box 344" hidden="1">
              <a:extLst>
                <a:ext uri="{63B3BB69-23CF-44E3-9099-C40C66FF867C}">
                  <a14:compatExt spid="_x0000_s3416"/>
                </a:ext>
                <a:ext uri="{FF2B5EF4-FFF2-40B4-BE49-F238E27FC236}">
                  <a16:creationId xmlns:a16="http://schemas.microsoft.com/office/drawing/2014/main" id="{00000000-0008-0000-0200-000058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316</xdr:row>
          <xdr:rowOff>0</xdr:rowOff>
        </xdr:from>
        <xdr:to>
          <xdr:col>4</xdr:col>
          <xdr:colOff>228600</xdr:colOff>
          <xdr:row>316</xdr:row>
          <xdr:rowOff>142875</xdr:rowOff>
        </xdr:to>
        <xdr:sp macro="" textlink="">
          <xdr:nvSpPr>
            <xdr:cNvPr id="3417" name="Check Box 345" hidden="1">
              <a:extLst>
                <a:ext uri="{63B3BB69-23CF-44E3-9099-C40C66FF867C}">
                  <a14:compatExt spid="_x0000_s3417"/>
                </a:ext>
                <a:ext uri="{FF2B5EF4-FFF2-40B4-BE49-F238E27FC236}">
                  <a16:creationId xmlns:a16="http://schemas.microsoft.com/office/drawing/2014/main" id="{00000000-0008-0000-0200-000059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317</xdr:row>
          <xdr:rowOff>0</xdr:rowOff>
        </xdr:from>
        <xdr:to>
          <xdr:col>4</xdr:col>
          <xdr:colOff>228600</xdr:colOff>
          <xdr:row>317</xdr:row>
          <xdr:rowOff>142875</xdr:rowOff>
        </xdr:to>
        <xdr:sp macro="" textlink="">
          <xdr:nvSpPr>
            <xdr:cNvPr id="3418" name="Check Box 346" hidden="1">
              <a:extLst>
                <a:ext uri="{63B3BB69-23CF-44E3-9099-C40C66FF867C}">
                  <a14:compatExt spid="_x0000_s3418"/>
                </a:ext>
                <a:ext uri="{FF2B5EF4-FFF2-40B4-BE49-F238E27FC236}">
                  <a16:creationId xmlns:a16="http://schemas.microsoft.com/office/drawing/2014/main" id="{00000000-0008-0000-0200-00005A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10</xdr:row>
          <xdr:rowOff>0</xdr:rowOff>
        </xdr:from>
        <xdr:to>
          <xdr:col>4</xdr:col>
          <xdr:colOff>228600</xdr:colOff>
          <xdr:row>10</xdr:row>
          <xdr:rowOff>142875</xdr:rowOff>
        </xdr:to>
        <xdr:sp macro="" textlink="">
          <xdr:nvSpPr>
            <xdr:cNvPr id="3419" name="Check Box 347" hidden="1">
              <a:extLst>
                <a:ext uri="{63B3BB69-23CF-44E3-9099-C40C66FF867C}">
                  <a14:compatExt spid="_x0000_s3419"/>
                </a:ext>
                <a:ext uri="{FF2B5EF4-FFF2-40B4-BE49-F238E27FC236}">
                  <a16:creationId xmlns:a16="http://schemas.microsoft.com/office/drawing/2014/main" id="{00000000-0008-0000-0200-00005B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11</xdr:row>
          <xdr:rowOff>0</xdr:rowOff>
        </xdr:from>
        <xdr:to>
          <xdr:col>4</xdr:col>
          <xdr:colOff>228600</xdr:colOff>
          <xdr:row>11</xdr:row>
          <xdr:rowOff>142875</xdr:rowOff>
        </xdr:to>
        <xdr:sp macro="" textlink="">
          <xdr:nvSpPr>
            <xdr:cNvPr id="3420" name="Check Box 348" hidden="1">
              <a:extLst>
                <a:ext uri="{63B3BB69-23CF-44E3-9099-C40C66FF867C}">
                  <a14:compatExt spid="_x0000_s3420"/>
                </a:ext>
                <a:ext uri="{FF2B5EF4-FFF2-40B4-BE49-F238E27FC236}">
                  <a16:creationId xmlns:a16="http://schemas.microsoft.com/office/drawing/2014/main" id="{00000000-0008-0000-0200-00005C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110</xdr:row>
          <xdr:rowOff>0</xdr:rowOff>
        </xdr:from>
        <xdr:to>
          <xdr:col>4</xdr:col>
          <xdr:colOff>228600</xdr:colOff>
          <xdr:row>110</xdr:row>
          <xdr:rowOff>142875</xdr:rowOff>
        </xdr:to>
        <xdr:sp macro="" textlink="">
          <xdr:nvSpPr>
            <xdr:cNvPr id="3421" name="Check Box 349" hidden="1">
              <a:extLst>
                <a:ext uri="{63B3BB69-23CF-44E3-9099-C40C66FF867C}">
                  <a14:compatExt spid="_x0000_s3421"/>
                </a:ext>
                <a:ext uri="{FF2B5EF4-FFF2-40B4-BE49-F238E27FC236}">
                  <a16:creationId xmlns:a16="http://schemas.microsoft.com/office/drawing/2014/main" id="{00000000-0008-0000-0200-00005D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111</xdr:row>
          <xdr:rowOff>0</xdr:rowOff>
        </xdr:from>
        <xdr:to>
          <xdr:col>4</xdr:col>
          <xdr:colOff>228600</xdr:colOff>
          <xdr:row>111</xdr:row>
          <xdr:rowOff>142875</xdr:rowOff>
        </xdr:to>
        <xdr:sp macro="" textlink="">
          <xdr:nvSpPr>
            <xdr:cNvPr id="3422" name="Check Box 350" hidden="1">
              <a:extLst>
                <a:ext uri="{63B3BB69-23CF-44E3-9099-C40C66FF867C}">
                  <a14:compatExt spid="_x0000_s3422"/>
                </a:ext>
                <a:ext uri="{FF2B5EF4-FFF2-40B4-BE49-F238E27FC236}">
                  <a16:creationId xmlns:a16="http://schemas.microsoft.com/office/drawing/2014/main" id="{00000000-0008-0000-0200-00005E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94</xdr:row>
          <xdr:rowOff>0</xdr:rowOff>
        </xdr:from>
        <xdr:to>
          <xdr:col>4</xdr:col>
          <xdr:colOff>228600</xdr:colOff>
          <xdr:row>94</xdr:row>
          <xdr:rowOff>142875</xdr:rowOff>
        </xdr:to>
        <xdr:sp macro="" textlink="">
          <xdr:nvSpPr>
            <xdr:cNvPr id="3423" name="Check Box 351" hidden="1">
              <a:extLst>
                <a:ext uri="{63B3BB69-23CF-44E3-9099-C40C66FF867C}">
                  <a14:compatExt spid="_x0000_s3423"/>
                </a:ext>
                <a:ext uri="{FF2B5EF4-FFF2-40B4-BE49-F238E27FC236}">
                  <a16:creationId xmlns:a16="http://schemas.microsoft.com/office/drawing/2014/main" id="{00000000-0008-0000-0200-00005F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95</xdr:row>
          <xdr:rowOff>0</xdr:rowOff>
        </xdr:from>
        <xdr:to>
          <xdr:col>4</xdr:col>
          <xdr:colOff>228600</xdr:colOff>
          <xdr:row>95</xdr:row>
          <xdr:rowOff>142875</xdr:rowOff>
        </xdr:to>
        <xdr:sp macro="" textlink="">
          <xdr:nvSpPr>
            <xdr:cNvPr id="3424" name="Check Box 352" hidden="1">
              <a:extLst>
                <a:ext uri="{63B3BB69-23CF-44E3-9099-C40C66FF867C}">
                  <a14:compatExt spid="_x0000_s3424"/>
                </a:ext>
                <a:ext uri="{FF2B5EF4-FFF2-40B4-BE49-F238E27FC236}">
                  <a16:creationId xmlns:a16="http://schemas.microsoft.com/office/drawing/2014/main" id="{00000000-0008-0000-0200-000060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172</xdr:row>
          <xdr:rowOff>0</xdr:rowOff>
        </xdr:from>
        <xdr:to>
          <xdr:col>4</xdr:col>
          <xdr:colOff>228600</xdr:colOff>
          <xdr:row>172</xdr:row>
          <xdr:rowOff>142875</xdr:rowOff>
        </xdr:to>
        <xdr:sp macro="" textlink="">
          <xdr:nvSpPr>
            <xdr:cNvPr id="3425" name="Check Box 353" hidden="1">
              <a:extLst>
                <a:ext uri="{63B3BB69-23CF-44E3-9099-C40C66FF867C}">
                  <a14:compatExt spid="_x0000_s3425"/>
                </a:ext>
                <a:ext uri="{FF2B5EF4-FFF2-40B4-BE49-F238E27FC236}">
                  <a16:creationId xmlns:a16="http://schemas.microsoft.com/office/drawing/2014/main" id="{00000000-0008-0000-0200-000061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173</xdr:row>
          <xdr:rowOff>0</xdr:rowOff>
        </xdr:from>
        <xdr:to>
          <xdr:col>4</xdr:col>
          <xdr:colOff>228600</xdr:colOff>
          <xdr:row>173</xdr:row>
          <xdr:rowOff>142875</xdr:rowOff>
        </xdr:to>
        <xdr:sp macro="" textlink="">
          <xdr:nvSpPr>
            <xdr:cNvPr id="3426" name="Check Box 354" hidden="1">
              <a:extLst>
                <a:ext uri="{63B3BB69-23CF-44E3-9099-C40C66FF867C}">
                  <a14:compatExt spid="_x0000_s3426"/>
                </a:ext>
                <a:ext uri="{FF2B5EF4-FFF2-40B4-BE49-F238E27FC236}">
                  <a16:creationId xmlns:a16="http://schemas.microsoft.com/office/drawing/2014/main" id="{00000000-0008-0000-0200-000062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7</xdr:row>
          <xdr:rowOff>9525</xdr:rowOff>
        </xdr:from>
        <xdr:to>
          <xdr:col>4</xdr:col>
          <xdr:colOff>228600</xdr:colOff>
          <xdr:row>7</xdr:row>
          <xdr:rowOff>152400</xdr:rowOff>
        </xdr:to>
        <xdr:sp macro="" textlink="">
          <xdr:nvSpPr>
            <xdr:cNvPr id="3436" name="Check Box 364" hidden="1">
              <a:extLst>
                <a:ext uri="{63B3BB69-23CF-44E3-9099-C40C66FF867C}">
                  <a14:compatExt spid="_x0000_s3436"/>
                </a:ext>
                <a:ext uri="{FF2B5EF4-FFF2-40B4-BE49-F238E27FC236}">
                  <a16:creationId xmlns:a16="http://schemas.microsoft.com/office/drawing/2014/main" id="{00000000-0008-0000-0200-00006C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8</xdr:row>
          <xdr:rowOff>9525</xdr:rowOff>
        </xdr:from>
        <xdr:to>
          <xdr:col>4</xdr:col>
          <xdr:colOff>228600</xdr:colOff>
          <xdr:row>8</xdr:row>
          <xdr:rowOff>152400</xdr:rowOff>
        </xdr:to>
        <xdr:sp macro="" textlink="">
          <xdr:nvSpPr>
            <xdr:cNvPr id="3437" name="Check Box 365" hidden="1">
              <a:extLst>
                <a:ext uri="{63B3BB69-23CF-44E3-9099-C40C66FF867C}">
                  <a14:compatExt spid="_x0000_s3437"/>
                </a:ext>
                <a:ext uri="{FF2B5EF4-FFF2-40B4-BE49-F238E27FC236}">
                  <a16:creationId xmlns:a16="http://schemas.microsoft.com/office/drawing/2014/main" id="{00000000-0008-0000-0200-00006D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9</xdr:row>
          <xdr:rowOff>9525</xdr:rowOff>
        </xdr:from>
        <xdr:to>
          <xdr:col>4</xdr:col>
          <xdr:colOff>228600</xdr:colOff>
          <xdr:row>9</xdr:row>
          <xdr:rowOff>152400</xdr:rowOff>
        </xdr:to>
        <xdr:sp macro="" textlink="">
          <xdr:nvSpPr>
            <xdr:cNvPr id="3438" name="Check Box 366" hidden="1">
              <a:extLst>
                <a:ext uri="{63B3BB69-23CF-44E3-9099-C40C66FF867C}">
                  <a14:compatExt spid="_x0000_s3438"/>
                </a:ext>
                <a:ext uri="{FF2B5EF4-FFF2-40B4-BE49-F238E27FC236}">
                  <a16:creationId xmlns:a16="http://schemas.microsoft.com/office/drawing/2014/main" id="{00000000-0008-0000-0200-00006E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10</xdr:row>
          <xdr:rowOff>9525</xdr:rowOff>
        </xdr:from>
        <xdr:to>
          <xdr:col>4</xdr:col>
          <xdr:colOff>228600</xdr:colOff>
          <xdr:row>10</xdr:row>
          <xdr:rowOff>152400</xdr:rowOff>
        </xdr:to>
        <xdr:sp macro="" textlink="">
          <xdr:nvSpPr>
            <xdr:cNvPr id="3439" name="Check Box 367" hidden="1">
              <a:extLst>
                <a:ext uri="{63B3BB69-23CF-44E3-9099-C40C66FF867C}">
                  <a14:compatExt spid="_x0000_s3439"/>
                </a:ext>
                <a:ext uri="{FF2B5EF4-FFF2-40B4-BE49-F238E27FC236}">
                  <a16:creationId xmlns:a16="http://schemas.microsoft.com/office/drawing/2014/main" id="{00000000-0008-0000-0200-00006F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11</xdr:row>
          <xdr:rowOff>9525</xdr:rowOff>
        </xdr:from>
        <xdr:to>
          <xdr:col>4</xdr:col>
          <xdr:colOff>228600</xdr:colOff>
          <xdr:row>11</xdr:row>
          <xdr:rowOff>152400</xdr:rowOff>
        </xdr:to>
        <xdr:sp macro="" textlink="">
          <xdr:nvSpPr>
            <xdr:cNvPr id="3440" name="Check Box 368" hidden="1">
              <a:extLst>
                <a:ext uri="{63B3BB69-23CF-44E3-9099-C40C66FF867C}">
                  <a14:compatExt spid="_x0000_s3440"/>
                </a:ext>
                <a:ext uri="{FF2B5EF4-FFF2-40B4-BE49-F238E27FC236}">
                  <a16:creationId xmlns:a16="http://schemas.microsoft.com/office/drawing/2014/main" id="{00000000-0008-0000-0200-000070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18</xdr:row>
          <xdr:rowOff>9525</xdr:rowOff>
        </xdr:from>
        <xdr:to>
          <xdr:col>4</xdr:col>
          <xdr:colOff>228600</xdr:colOff>
          <xdr:row>18</xdr:row>
          <xdr:rowOff>152400</xdr:rowOff>
        </xdr:to>
        <xdr:sp macro="" textlink="">
          <xdr:nvSpPr>
            <xdr:cNvPr id="3441" name="Check Box 369" hidden="1">
              <a:extLst>
                <a:ext uri="{63B3BB69-23CF-44E3-9099-C40C66FF867C}">
                  <a14:compatExt spid="_x0000_s3441"/>
                </a:ext>
                <a:ext uri="{FF2B5EF4-FFF2-40B4-BE49-F238E27FC236}">
                  <a16:creationId xmlns:a16="http://schemas.microsoft.com/office/drawing/2014/main" id="{00000000-0008-0000-0200-000071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19</xdr:row>
          <xdr:rowOff>9525</xdr:rowOff>
        </xdr:from>
        <xdr:to>
          <xdr:col>4</xdr:col>
          <xdr:colOff>228600</xdr:colOff>
          <xdr:row>19</xdr:row>
          <xdr:rowOff>152400</xdr:rowOff>
        </xdr:to>
        <xdr:sp macro="" textlink="">
          <xdr:nvSpPr>
            <xdr:cNvPr id="3442" name="Check Box 370" hidden="1">
              <a:extLst>
                <a:ext uri="{63B3BB69-23CF-44E3-9099-C40C66FF867C}">
                  <a14:compatExt spid="_x0000_s3442"/>
                </a:ext>
                <a:ext uri="{FF2B5EF4-FFF2-40B4-BE49-F238E27FC236}">
                  <a16:creationId xmlns:a16="http://schemas.microsoft.com/office/drawing/2014/main" id="{00000000-0008-0000-0200-000072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20</xdr:row>
          <xdr:rowOff>9525</xdr:rowOff>
        </xdr:from>
        <xdr:to>
          <xdr:col>4</xdr:col>
          <xdr:colOff>228600</xdr:colOff>
          <xdr:row>20</xdr:row>
          <xdr:rowOff>152400</xdr:rowOff>
        </xdr:to>
        <xdr:sp macro="" textlink="">
          <xdr:nvSpPr>
            <xdr:cNvPr id="3443" name="Check Box 371" hidden="1">
              <a:extLst>
                <a:ext uri="{63B3BB69-23CF-44E3-9099-C40C66FF867C}">
                  <a14:compatExt spid="_x0000_s3443"/>
                </a:ext>
                <a:ext uri="{FF2B5EF4-FFF2-40B4-BE49-F238E27FC236}">
                  <a16:creationId xmlns:a16="http://schemas.microsoft.com/office/drawing/2014/main" id="{00000000-0008-0000-0200-000073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21</xdr:row>
          <xdr:rowOff>9525</xdr:rowOff>
        </xdr:from>
        <xdr:to>
          <xdr:col>4</xdr:col>
          <xdr:colOff>228600</xdr:colOff>
          <xdr:row>21</xdr:row>
          <xdr:rowOff>152400</xdr:rowOff>
        </xdr:to>
        <xdr:sp macro="" textlink="">
          <xdr:nvSpPr>
            <xdr:cNvPr id="3444" name="Check Box 372" hidden="1">
              <a:extLst>
                <a:ext uri="{63B3BB69-23CF-44E3-9099-C40C66FF867C}">
                  <a14:compatExt spid="_x0000_s3444"/>
                </a:ext>
                <a:ext uri="{FF2B5EF4-FFF2-40B4-BE49-F238E27FC236}">
                  <a16:creationId xmlns:a16="http://schemas.microsoft.com/office/drawing/2014/main" id="{00000000-0008-0000-0200-000074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22</xdr:row>
          <xdr:rowOff>9525</xdr:rowOff>
        </xdr:from>
        <xdr:to>
          <xdr:col>4</xdr:col>
          <xdr:colOff>228600</xdr:colOff>
          <xdr:row>22</xdr:row>
          <xdr:rowOff>152400</xdr:rowOff>
        </xdr:to>
        <xdr:sp macro="" textlink="">
          <xdr:nvSpPr>
            <xdr:cNvPr id="3445" name="Check Box 373" hidden="1">
              <a:extLst>
                <a:ext uri="{63B3BB69-23CF-44E3-9099-C40C66FF867C}">
                  <a14:compatExt spid="_x0000_s3445"/>
                </a:ext>
                <a:ext uri="{FF2B5EF4-FFF2-40B4-BE49-F238E27FC236}">
                  <a16:creationId xmlns:a16="http://schemas.microsoft.com/office/drawing/2014/main" id="{00000000-0008-0000-0200-000075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23</xdr:row>
          <xdr:rowOff>9525</xdr:rowOff>
        </xdr:from>
        <xdr:to>
          <xdr:col>4</xdr:col>
          <xdr:colOff>228600</xdr:colOff>
          <xdr:row>23</xdr:row>
          <xdr:rowOff>152400</xdr:rowOff>
        </xdr:to>
        <xdr:sp macro="" textlink="">
          <xdr:nvSpPr>
            <xdr:cNvPr id="3446" name="Check Box 374" hidden="1">
              <a:extLst>
                <a:ext uri="{63B3BB69-23CF-44E3-9099-C40C66FF867C}">
                  <a14:compatExt spid="_x0000_s3446"/>
                </a:ext>
                <a:ext uri="{FF2B5EF4-FFF2-40B4-BE49-F238E27FC236}">
                  <a16:creationId xmlns:a16="http://schemas.microsoft.com/office/drawing/2014/main" id="{00000000-0008-0000-0200-000076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24</xdr:row>
          <xdr:rowOff>9525</xdr:rowOff>
        </xdr:from>
        <xdr:to>
          <xdr:col>4</xdr:col>
          <xdr:colOff>228600</xdr:colOff>
          <xdr:row>24</xdr:row>
          <xdr:rowOff>152400</xdr:rowOff>
        </xdr:to>
        <xdr:sp macro="" textlink="">
          <xdr:nvSpPr>
            <xdr:cNvPr id="3447" name="Check Box 375" hidden="1">
              <a:extLst>
                <a:ext uri="{63B3BB69-23CF-44E3-9099-C40C66FF867C}">
                  <a14:compatExt spid="_x0000_s3447"/>
                </a:ext>
                <a:ext uri="{FF2B5EF4-FFF2-40B4-BE49-F238E27FC236}">
                  <a16:creationId xmlns:a16="http://schemas.microsoft.com/office/drawing/2014/main" id="{00000000-0008-0000-0200-000077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25</xdr:row>
          <xdr:rowOff>9525</xdr:rowOff>
        </xdr:from>
        <xdr:to>
          <xdr:col>4</xdr:col>
          <xdr:colOff>228600</xdr:colOff>
          <xdr:row>25</xdr:row>
          <xdr:rowOff>152400</xdr:rowOff>
        </xdr:to>
        <xdr:sp macro="" textlink="">
          <xdr:nvSpPr>
            <xdr:cNvPr id="3448" name="Check Box 376" hidden="1">
              <a:extLst>
                <a:ext uri="{63B3BB69-23CF-44E3-9099-C40C66FF867C}">
                  <a14:compatExt spid="_x0000_s3448"/>
                </a:ext>
                <a:ext uri="{FF2B5EF4-FFF2-40B4-BE49-F238E27FC236}">
                  <a16:creationId xmlns:a16="http://schemas.microsoft.com/office/drawing/2014/main" id="{00000000-0008-0000-0200-000078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26</xdr:row>
          <xdr:rowOff>9525</xdr:rowOff>
        </xdr:from>
        <xdr:to>
          <xdr:col>4</xdr:col>
          <xdr:colOff>228600</xdr:colOff>
          <xdr:row>26</xdr:row>
          <xdr:rowOff>152400</xdr:rowOff>
        </xdr:to>
        <xdr:sp macro="" textlink="">
          <xdr:nvSpPr>
            <xdr:cNvPr id="3449" name="Check Box 377" hidden="1">
              <a:extLst>
                <a:ext uri="{63B3BB69-23CF-44E3-9099-C40C66FF867C}">
                  <a14:compatExt spid="_x0000_s3449"/>
                </a:ext>
                <a:ext uri="{FF2B5EF4-FFF2-40B4-BE49-F238E27FC236}">
                  <a16:creationId xmlns:a16="http://schemas.microsoft.com/office/drawing/2014/main" id="{00000000-0008-0000-0200-000079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7</xdr:row>
          <xdr:rowOff>9525</xdr:rowOff>
        </xdr:from>
        <xdr:to>
          <xdr:col>4</xdr:col>
          <xdr:colOff>228600</xdr:colOff>
          <xdr:row>7</xdr:row>
          <xdr:rowOff>152400</xdr:rowOff>
        </xdr:to>
        <xdr:sp macro="" textlink="">
          <xdr:nvSpPr>
            <xdr:cNvPr id="3451" name="Check Box 379" hidden="1">
              <a:extLst>
                <a:ext uri="{63B3BB69-23CF-44E3-9099-C40C66FF867C}">
                  <a14:compatExt spid="_x0000_s3451"/>
                </a:ext>
                <a:ext uri="{FF2B5EF4-FFF2-40B4-BE49-F238E27FC236}">
                  <a16:creationId xmlns:a16="http://schemas.microsoft.com/office/drawing/2014/main" id="{00000000-0008-0000-0200-00007B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8</xdr:row>
          <xdr:rowOff>9525</xdr:rowOff>
        </xdr:from>
        <xdr:to>
          <xdr:col>4</xdr:col>
          <xdr:colOff>228600</xdr:colOff>
          <xdr:row>8</xdr:row>
          <xdr:rowOff>152400</xdr:rowOff>
        </xdr:to>
        <xdr:sp macro="" textlink="">
          <xdr:nvSpPr>
            <xdr:cNvPr id="3452" name="Check Box 380" hidden="1">
              <a:extLst>
                <a:ext uri="{63B3BB69-23CF-44E3-9099-C40C66FF867C}">
                  <a14:compatExt spid="_x0000_s3452"/>
                </a:ext>
                <a:ext uri="{FF2B5EF4-FFF2-40B4-BE49-F238E27FC236}">
                  <a16:creationId xmlns:a16="http://schemas.microsoft.com/office/drawing/2014/main" id="{00000000-0008-0000-0200-00007C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9</xdr:row>
          <xdr:rowOff>9525</xdr:rowOff>
        </xdr:from>
        <xdr:to>
          <xdr:col>4</xdr:col>
          <xdr:colOff>228600</xdr:colOff>
          <xdr:row>9</xdr:row>
          <xdr:rowOff>152400</xdr:rowOff>
        </xdr:to>
        <xdr:sp macro="" textlink="">
          <xdr:nvSpPr>
            <xdr:cNvPr id="3453" name="Check Box 381" hidden="1">
              <a:extLst>
                <a:ext uri="{63B3BB69-23CF-44E3-9099-C40C66FF867C}">
                  <a14:compatExt spid="_x0000_s3453"/>
                </a:ext>
                <a:ext uri="{FF2B5EF4-FFF2-40B4-BE49-F238E27FC236}">
                  <a16:creationId xmlns:a16="http://schemas.microsoft.com/office/drawing/2014/main" id="{00000000-0008-0000-0200-00007D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10</xdr:row>
          <xdr:rowOff>9525</xdr:rowOff>
        </xdr:from>
        <xdr:to>
          <xdr:col>4</xdr:col>
          <xdr:colOff>228600</xdr:colOff>
          <xdr:row>10</xdr:row>
          <xdr:rowOff>152400</xdr:rowOff>
        </xdr:to>
        <xdr:sp macro="" textlink="">
          <xdr:nvSpPr>
            <xdr:cNvPr id="3454" name="Check Box 382" hidden="1">
              <a:extLst>
                <a:ext uri="{63B3BB69-23CF-44E3-9099-C40C66FF867C}">
                  <a14:compatExt spid="_x0000_s3454"/>
                </a:ext>
                <a:ext uri="{FF2B5EF4-FFF2-40B4-BE49-F238E27FC236}">
                  <a16:creationId xmlns:a16="http://schemas.microsoft.com/office/drawing/2014/main" id="{00000000-0008-0000-0200-00007E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11</xdr:row>
          <xdr:rowOff>9525</xdr:rowOff>
        </xdr:from>
        <xdr:to>
          <xdr:col>4</xdr:col>
          <xdr:colOff>228600</xdr:colOff>
          <xdr:row>11</xdr:row>
          <xdr:rowOff>152400</xdr:rowOff>
        </xdr:to>
        <xdr:sp macro="" textlink="">
          <xdr:nvSpPr>
            <xdr:cNvPr id="3455" name="Check Box 383" hidden="1">
              <a:extLst>
                <a:ext uri="{63B3BB69-23CF-44E3-9099-C40C66FF867C}">
                  <a14:compatExt spid="_x0000_s3455"/>
                </a:ext>
                <a:ext uri="{FF2B5EF4-FFF2-40B4-BE49-F238E27FC236}">
                  <a16:creationId xmlns:a16="http://schemas.microsoft.com/office/drawing/2014/main" id="{00000000-0008-0000-0200-00007F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18</xdr:row>
          <xdr:rowOff>9525</xdr:rowOff>
        </xdr:from>
        <xdr:to>
          <xdr:col>4</xdr:col>
          <xdr:colOff>228600</xdr:colOff>
          <xdr:row>18</xdr:row>
          <xdr:rowOff>152400</xdr:rowOff>
        </xdr:to>
        <xdr:sp macro="" textlink="">
          <xdr:nvSpPr>
            <xdr:cNvPr id="3456" name="Check Box 384" hidden="1">
              <a:extLst>
                <a:ext uri="{63B3BB69-23CF-44E3-9099-C40C66FF867C}">
                  <a14:compatExt spid="_x0000_s3456"/>
                </a:ext>
                <a:ext uri="{FF2B5EF4-FFF2-40B4-BE49-F238E27FC236}">
                  <a16:creationId xmlns:a16="http://schemas.microsoft.com/office/drawing/2014/main" id="{00000000-0008-0000-0200-000080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19</xdr:row>
          <xdr:rowOff>9525</xdr:rowOff>
        </xdr:from>
        <xdr:to>
          <xdr:col>4</xdr:col>
          <xdr:colOff>228600</xdr:colOff>
          <xdr:row>19</xdr:row>
          <xdr:rowOff>152400</xdr:rowOff>
        </xdr:to>
        <xdr:sp macro="" textlink="">
          <xdr:nvSpPr>
            <xdr:cNvPr id="3457" name="Check Box 385" hidden="1">
              <a:extLst>
                <a:ext uri="{63B3BB69-23CF-44E3-9099-C40C66FF867C}">
                  <a14:compatExt spid="_x0000_s3457"/>
                </a:ext>
                <a:ext uri="{FF2B5EF4-FFF2-40B4-BE49-F238E27FC236}">
                  <a16:creationId xmlns:a16="http://schemas.microsoft.com/office/drawing/2014/main" id="{00000000-0008-0000-0200-000081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20</xdr:row>
          <xdr:rowOff>9525</xdr:rowOff>
        </xdr:from>
        <xdr:to>
          <xdr:col>4</xdr:col>
          <xdr:colOff>228600</xdr:colOff>
          <xdr:row>20</xdr:row>
          <xdr:rowOff>152400</xdr:rowOff>
        </xdr:to>
        <xdr:sp macro="" textlink="">
          <xdr:nvSpPr>
            <xdr:cNvPr id="3458" name="Check Box 386" hidden="1">
              <a:extLst>
                <a:ext uri="{63B3BB69-23CF-44E3-9099-C40C66FF867C}">
                  <a14:compatExt spid="_x0000_s3458"/>
                </a:ext>
                <a:ext uri="{FF2B5EF4-FFF2-40B4-BE49-F238E27FC236}">
                  <a16:creationId xmlns:a16="http://schemas.microsoft.com/office/drawing/2014/main" id="{00000000-0008-0000-0200-000082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21</xdr:row>
          <xdr:rowOff>9525</xdr:rowOff>
        </xdr:from>
        <xdr:to>
          <xdr:col>4</xdr:col>
          <xdr:colOff>228600</xdr:colOff>
          <xdr:row>21</xdr:row>
          <xdr:rowOff>152400</xdr:rowOff>
        </xdr:to>
        <xdr:sp macro="" textlink="">
          <xdr:nvSpPr>
            <xdr:cNvPr id="3459" name="Check Box 387" hidden="1">
              <a:extLst>
                <a:ext uri="{63B3BB69-23CF-44E3-9099-C40C66FF867C}">
                  <a14:compatExt spid="_x0000_s3459"/>
                </a:ext>
                <a:ext uri="{FF2B5EF4-FFF2-40B4-BE49-F238E27FC236}">
                  <a16:creationId xmlns:a16="http://schemas.microsoft.com/office/drawing/2014/main" id="{00000000-0008-0000-0200-000083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22</xdr:row>
          <xdr:rowOff>9525</xdr:rowOff>
        </xdr:from>
        <xdr:to>
          <xdr:col>4</xdr:col>
          <xdr:colOff>228600</xdr:colOff>
          <xdr:row>22</xdr:row>
          <xdr:rowOff>152400</xdr:rowOff>
        </xdr:to>
        <xdr:sp macro="" textlink="">
          <xdr:nvSpPr>
            <xdr:cNvPr id="3460" name="Check Box 388" hidden="1">
              <a:extLst>
                <a:ext uri="{63B3BB69-23CF-44E3-9099-C40C66FF867C}">
                  <a14:compatExt spid="_x0000_s3460"/>
                </a:ext>
                <a:ext uri="{FF2B5EF4-FFF2-40B4-BE49-F238E27FC236}">
                  <a16:creationId xmlns:a16="http://schemas.microsoft.com/office/drawing/2014/main" id="{00000000-0008-0000-0200-000084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23</xdr:row>
          <xdr:rowOff>9525</xdr:rowOff>
        </xdr:from>
        <xdr:to>
          <xdr:col>4</xdr:col>
          <xdr:colOff>228600</xdr:colOff>
          <xdr:row>23</xdr:row>
          <xdr:rowOff>152400</xdr:rowOff>
        </xdr:to>
        <xdr:sp macro="" textlink="">
          <xdr:nvSpPr>
            <xdr:cNvPr id="3461" name="Check Box 389" hidden="1">
              <a:extLst>
                <a:ext uri="{63B3BB69-23CF-44E3-9099-C40C66FF867C}">
                  <a14:compatExt spid="_x0000_s3461"/>
                </a:ext>
                <a:ext uri="{FF2B5EF4-FFF2-40B4-BE49-F238E27FC236}">
                  <a16:creationId xmlns:a16="http://schemas.microsoft.com/office/drawing/2014/main" id="{00000000-0008-0000-0200-000085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24</xdr:row>
          <xdr:rowOff>9525</xdr:rowOff>
        </xdr:from>
        <xdr:to>
          <xdr:col>4</xdr:col>
          <xdr:colOff>228600</xdr:colOff>
          <xdr:row>24</xdr:row>
          <xdr:rowOff>152400</xdr:rowOff>
        </xdr:to>
        <xdr:sp macro="" textlink="">
          <xdr:nvSpPr>
            <xdr:cNvPr id="3462" name="Check Box 390" hidden="1">
              <a:extLst>
                <a:ext uri="{63B3BB69-23CF-44E3-9099-C40C66FF867C}">
                  <a14:compatExt spid="_x0000_s3462"/>
                </a:ext>
                <a:ext uri="{FF2B5EF4-FFF2-40B4-BE49-F238E27FC236}">
                  <a16:creationId xmlns:a16="http://schemas.microsoft.com/office/drawing/2014/main" id="{00000000-0008-0000-0200-000086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25</xdr:row>
          <xdr:rowOff>9525</xdr:rowOff>
        </xdr:from>
        <xdr:to>
          <xdr:col>4</xdr:col>
          <xdr:colOff>228600</xdr:colOff>
          <xdr:row>25</xdr:row>
          <xdr:rowOff>152400</xdr:rowOff>
        </xdr:to>
        <xdr:sp macro="" textlink="">
          <xdr:nvSpPr>
            <xdr:cNvPr id="3463" name="Check Box 391" hidden="1">
              <a:extLst>
                <a:ext uri="{63B3BB69-23CF-44E3-9099-C40C66FF867C}">
                  <a14:compatExt spid="_x0000_s3463"/>
                </a:ext>
                <a:ext uri="{FF2B5EF4-FFF2-40B4-BE49-F238E27FC236}">
                  <a16:creationId xmlns:a16="http://schemas.microsoft.com/office/drawing/2014/main" id="{00000000-0008-0000-0200-000087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26</xdr:row>
          <xdr:rowOff>9525</xdr:rowOff>
        </xdr:from>
        <xdr:to>
          <xdr:col>4</xdr:col>
          <xdr:colOff>228600</xdr:colOff>
          <xdr:row>26</xdr:row>
          <xdr:rowOff>152400</xdr:rowOff>
        </xdr:to>
        <xdr:sp macro="" textlink="">
          <xdr:nvSpPr>
            <xdr:cNvPr id="3464" name="Check Box 392" hidden="1">
              <a:extLst>
                <a:ext uri="{63B3BB69-23CF-44E3-9099-C40C66FF867C}">
                  <a14:compatExt spid="_x0000_s3464"/>
                </a:ext>
                <a:ext uri="{FF2B5EF4-FFF2-40B4-BE49-F238E27FC236}">
                  <a16:creationId xmlns:a16="http://schemas.microsoft.com/office/drawing/2014/main" id="{00000000-0008-0000-0200-000088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50</xdr:row>
          <xdr:rowOff>0</xdr:rowOff>
        </xdr:from>
        <xdr:to>
          <xdr:col>4</xdr:col>
          <xdr:colOff>228600</xdr:colOff>
          <xdr:row>50</xdr:row>
          <xdr:rowOff>142875</xdr:rowOff>
        </xdr:to>
        <xdr:sp macro="" textlink="">
          <xdr:nvSpPr>
            <xdr:cNvPr id="3473" name="Check Box 401" hidden="1">
              <a:extLst>
                <a:ext uri="{63B3BB69-23CF-44E3-9099-C40C66FF867C}">
                  <a14:compatExt spid="_x0000_s3473"/>
                </a:ext>
                <a:ext uri="{FF2B5EF4-FFF2-40B4-BE49-F238E27FC236}">
                  <a16:creationId xmlns:a16="http://schemas.microsoft.com/office/drawing/2014/main" id="{00000000-0008-0000-0200-000091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51</xdr:row>
          <xdr:rowOff>0</xdr:rowOff>
        </xdr:from>
        <xdr:to>
          <xdr:col>4</xdr:col>
          <xdr:colOff>228600</xdr:colOff>
          <xdr:row>51</xdr:row>
          <xdr:rowOff>142875</xdr:rowOff>
        </xdr:to>
        <xdr:sp macro="" textlink="">
          <xdr:nvSpPr>
            <xdr:cNvPr id="3474" name="Check Box 402" hidden="1">
              <a:extLst>
                <a:ext uri="{63B3BB69-23CF-44E3-9099-C40C66FF867C}">
                  <a14:compatExt spid="_x0000_s3474"/>
                </a:ext>
                <a:ext uri="{FF2B5EF4-FFF2-40B4-BE49-F238E27FC236}">
                  <a16:creationId xmlns:a16="http://schemas.microsoft.com/office/drawing/2014/main" id="{00000000-0008-0000-0200-000092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52</xdr:row>
          <xdr:rowOff>0</xdr:rowOff>
        </xdr:from>
        <xdr:to>
          <xdr:col>4</xdr:col>
          <xdr:colOff>228600</xdr:colOff>
          <xdr:row>52</xdr:row>
          <xdr:rowOff>142875</xdr:rowOff>
        </xdr:to>
        <xdr:sp macro="" textlink="">
          <xdr:nvSpPr>
            <xdr:cNvPr id="3475" name="Check Box 403" hidden="1">
              <a:extLst>
                <a:ext uri="{63B3BB69-23CF-44E3-9099-C40C66FF867C}">
                  <a14:compatExt spid="_x0000_s3475"/>
                </a:ext>
                <a:ext uri="{FF2B5EF4-FFF2-40B4-BE49-F238E27FC236}">
                  <a16:creationId xmlns:a16="http://schemas.microsoft.com/office/drawing/2014/main" id="{00000000-0008-0000-0200-000093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53</xdr:row>
          <xdr:rowOff>0</xdr:rowOff>
        </xdr:from>
        <xdr:to>
          <xdr:col>4</xdr:col>
          <xdr:colOff>228600</xdr:colOff>
          <xdr:row>53</xdr:row>
          <xdr:rowOff>142875</xdr:rowOff>
        </xdr:to>
        <xdr:sp macro="" textlink="">
          <xdr:nvSpPr>
            <xdr:cNvPr id="3476" name="Check Box 404" hidden="1">
              <a:extLst>
                <a:ext uri="{63B3BB69-23CF-44E3-9099-C40C66FF867C}">
                  <a14:compatExt spid="_x0000_s3476"/>
                </a:ext>
                <a:ext uri="{FF2B5EF4-FFF2-40B4-BE49-F238E27FC236}">
                  <a16:creationId xmlns:a16="http://schemas.microsoft.com/office/drawing/2014/main" id="{00000000-0008-0000-0200-000094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54</xdr:row>
          <xdr:rowOff>0</xdr:rowOff>
        </xdr:from>
        <xdr:to>
          <xdr:col>4</xdr:col>
          <xdr:colOff>228600</xdr:colOff>
          <xdr:row>54</xdr:row>
          <xdr:rowOff>142875</xdr:rowOff>
        </xdr:to>
        <xdr:sp macro="" textlink="">
          <xdr:nvSpPr>
            <xdr:cNvPr id="3477" name="Check Box 405" hidden="1">
              <a:extLst>
                <a:ext uri="{63B3BB69-23CF-44E3-9099-C40C66FF867C}">
                  <a14:compatExt spid="_x0000_s3477"/>
                </a:ext>
                <a:ext uri="{FF2B5EF4-FFF2-40B4-BE49-F238E27FC236}">
                  <a16:creationId xmlns:a16="http://schemas.microsoft.com/office/drawing/2014/main" id="{00000000-0008-0000-0200-000095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55</xdr:row>
          <xdr:rowOff>0</xdr:rowOff>
        </xdr:from>
        <xdr:to>
          <xdr:col>4</xdr:col>
          <xdr:colOff>228600</xdr:colOff>
          <xdr:row>55</xdr:row>
          <xdr:rowOff>142875</xdr:rowOff>
        </xdr:to>
        <xdr:sp macro="" textlink="">
          <xdr:nvSpPr>
            <xdr:cNvPr id="3478" name="Check Box 406" hidden="1">
              <a:extLst>
                <a:ext uri="{63B3BB69-23CF-44E3-9099-C40C66FF867C}">
                  <a14:compatExt spid="_x0000_s3478"/>
                </a:ext>
                <a:ext uri="{FF2B5EF4-FFF2-40B4-BE49-F238E27FC236}">
                  <a16:creationId xmlns:a16="http://schemas.microsoft.com/office/drawing/2014/main" id="{00000000-0008-0000-0200-000096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284</xdr:row>
          <xdr:rowOff>0</xdr:rowOff>
        </xdr:from>
        <xdr:to>
          <xdr:col>4</xdr:col>
          <xdr:colOff>228600</xdr:colOff>
          <xdr:row>284</xdr:row>
          <xdr:rowOff>142875</xdr:rowOff>
        </xdr:to>
        <xdr:sp macro="" textlink="">
          <xdr:nvSpPr>
            <xdr:cNvPr id="3479" name="Check Box 407" hidden="1">
              <a:extLst>
                <a:ext uri="{63B3BB69-23CF-44E3-9099-C40C66FF867C}">
                  <a14:compatExt spid="_x0000_s3479"/>
                </a:ext>
                <a:ext uri="{FF2B5EF4-FFF2-40B4-BE49-F238E27FC236}">
                  <a16:creationId xmlns:a16="http://schemas.microsoft.com/office/drawing/2014/main" id="{00000000-0008-0000-0200-000097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285</xdr:row>
          <xdr:rowOff>0</xdr:rowOff>
        </xdr:from>
        <xdr:to>
          <xdr:col>4</xdr:col>
          <xdr:colOff>228600</xdr:colOff>
          <xdr:row>285</xdr:row>
          <xdr:rowOff>142875</xdr:rowOff>
        </xdr:to>
        <xdr:sp macro="" textlink="">
          <xdr:nvSpPr>
            <xdr:cNvPr id="3480" name="Check Box 408" hidden="1">
              <a:extLst>
                <a:ext uri="{63B3BB69-23CF-44E3-9099-C40C66FF867C}">
                  <a14:compatExt spid="_x0000_s3480"/>
                </a:ext>
                <a:ext uri="{FF2B5EF4-FFF2-40B4-BE49-F238E27FC236}">
                  <a16:creationId xmlns:a16="http://schemas.microsoft.com/office/drawing/2014/main" id="{00000000-0008-0000-0200-000098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286</xdr:row>
          <xdr:rowOff>0</xdr:rowOff>
        </xdr:from>
        <xdr:to>
          <xdr:col>4</xdr:col>
          <xdr:colOff>228600</xdr:colOff>
          <xdr:row>286</xdr:row>
          <xdr:rowOff>142875</xdr:rowOff>
        </xdr:to>
        <xdr:sp macro="" textlink="">
          <xdr:nvSpPr>
            <xdr:cNvPr id="3481" name="Check Box 409" hidden="1">
              <a:extLst>
                <a:ext uri="{63B3BB69-23CF-44E3-9099-C40C66FF867C}">
                  <a14:compatExt spid="_x0000_s3481"/>
                </a:ext>
                <a:ext uri="{FF2B5EF4-FFF2-40B4-BE49-F238E27FC236}">
                  <a16:creationId xmlns:a16="http://schemas.microsoft.com/office/drawing/2014/main" id="{00000000-0008-0000-0200-000099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287</xdr:row>
          <xdr:rowOff>0</xdr:rowOff>
        </xdr:from>
        <xdr:to>
          <xdr:col>4</xdr:col>
          <xdr:colOff>228600</xdr:colOff>
          <xdr:row>287</xdr:row>
          <xdr:rowOff>142875</xdr:rowOff>
        </xdr:to>
        <xdr:sp macro="" textlink="">
          <xdr:nvSpPr>
            <xdr:cNvPr id="3482" name="Check Box 410" hidden="1">
              <a:extLst>
                <a:ext uri="{63B3BB69-23CF-44E3-9099-C40C66FF867C}">
                  <a14:compatExt spid="_x0000_s3482"/>
                </a:ext>
                <a:ext uri="{FF2B5EF4-FFF2-40B4-BE49-F238E27FC236}">
                  <a16:creationId xmlns:a16="http://schemas.microsoft.com/office/drawing/2014/main" id="{00000000-0008-0000-0200-00009A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288</xdr:row>
          <xdr:rowOff>0</xdr:rowOff>
        </xdr:from>
        <xdr:to>
          <xdr:col>4</xdr:col>
          <xdr:colOff>228600</xdr:colOff>
          <xdr:row>288</xdr:row>
          <xdr:rowOff>142875</xdr:rowOff>
        </xdr:to>
        <xdr:sp macro="" textlink="">
          <xdr:nvSpPr>
            <xdr:cNvPr id="3483" name="Check Box 411" hidden="1">
              <a:extLst>
                <a:ext uri="{63B3BB69-23CF-44E3-9099-C40C66FF867C}">
                  <a14:compatExt spid="_x0000_s3483"/>
                </a:ext>
                <a:ext uri="{FF2B5EF4-FFF2-40B4-BE49-F238E27FC236}">
                  <a16:creationId xmlns:a16="http://schemas.microsoft.com/office/drawing/2014/main" id="{00000000-0008-0000-0200-00009B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289</xdr:row>
          <xdr:rowOff>0</xdr:rowOff>
        </xdr:from>
        <xdr:to>
          <xdr:col>4</xdr:col>
          <xdr:colOff>228600</xdr:colOff>
          <xdr:row>289</xdr:row>
          <xdr:rowOff>142875</xdr:rowOff>
        </xdr:to>
        <xdr:sp macro="" textlink="">
          <xdr:nvSpPr>
            <xdr:cNvPr id="3484" name="Check Box 412" hidden="1">
              <a:extLst>
                <a:ext uri="{63B3BB69-23CF-44E3-9099-C40C66FF867C}">
                  <a14:compatExt spid="_x0000_s3484"/>
                </a:ext>
                <a:ext uri="{FF2B5EF4-FFF2-40B4-BE49-F238E27FC236}">
                  <a16:creationId xmlns:a16="http://schemas.microsoft.com/office/drawing/2014/main" id="{00000000-0008-0000-0200-00009C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290</xdr:row>
          <xdr:rowOff>0</xdr:rowOff>
        </xdr:from>
        <xdr:to>
          <xdr:col>4</xdr:col>
          <xdr:colOff>228600</xdr:colOff>
          <xdr:row>290</xdr:row>
          <xdr:rowOff>142875</xdr:rowOff>
        </xdr:to>
        <xdr:sp macro="" textlink="">
          <xdr:nvSpPr>
            <xdr:cNvPr id="3485" name="Check Box 413" hidden="1">
              <a:extLst>
                <a:ext uri="{63B3BB69-23CF-44E3-9099-C40C66FF867C}">
                  <a14:compatExt spid="_x0000_s3485"/>
                </a:ext>
                <a:ext uri="{FF2B5EF4-FFF2-40B4-BE49-F238E27FC236}">
                  <a16:creationId xmlns:a16="http://schemas.microsoft.com/office/drawing/2014/main" id="{00000000-0008-0000-0200-00009D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291</xdr:row>
          <xdr:rowOff>0</xdr:rowOff>
        </xdr:from>
        <xdr:to>
          <xdr:col>4</xdr:col>
          <xdr:colOff>228600</xdr:colOff>
          <xdr:row>291</xdr:row>
          <xdr:rowOff>142875</xdr:rowOff>
        </xdr:to>
        <xdr:sp macro="" textlink="">
          <xdr:nvSpPr>
            <xdr:cNvPr id="3486" name="Check Box 414" hidden="1">
              <a:extLst>
                <a:ext uri="{63B3BB69-23CF-44E3-9099-C40C66FF867C}">
                  <a14:compatExt spid="_x0000_s3486"/>
                </a:ext>
                <a:ext uri="{FF2B5EF4-FFF2-40B4-BE49-F238E27FC236}">
                  <a16:creationId xmlns:a16="http://schemas.microsoft.com/office/drawing/2014/main" id="{00000000-0008-0000-0200-00009E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12</xdr:row>
          <xdr:rowOff>0</xdr:rowOff>
        </xdr:from>
        <xdr:to>
          <xdr:col>4</xdr:col>
          <xdr:colOff>228600</xdr:colOff>
          <xdr:row>12</xdr:row>
          <xdr:rowOff>142875</xdr:rowOff>
        </xdr:to>
        <xdr:sp macro="" textlink="">
          <xdr:nvSpPr>
            <xdr:cNvPr id="3489" name="Check Box 417" hidden="1">
              <a:extLst>
                <a:ext uri="{63B3BB69-23CF-44E3-9099-C40C66FF867C}">
                  <a14:compatExt spid="_x0000_s3489"/>
                </a:ext>
                <a:ext uri="{FF2B5EF4-FFF2-40B4-BE49-F238E27FC236}">
                  <a16:creationId xmlns:a16="http://schemas.microsoft.com/office/drawing/2014/main" id="{00000000-0008-0000-0200-0000A1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13</xdr:row>
          <xdr:rowOff>0</xdr:rowOff>
        </xdr:from>
        <xdr:to>
          <xdr:col>4</xdr:col>
          <xdr:colOff>228600</xdr:colOff>
          <xdr:row>13</xdr:row>
          <xdr:rowOff>142875</xdr:rowOff>
        </xdr:to>
        <xdr:sp macro="" textlink="">
          <xdr:nvSpPr>
            <xdr:cNvPr id="3490" name="Check Box 418" hidden="1">
              <a:extLst>
                <a:ext uri="{63B3BB69-23CF-44E3-9099-C40C66FF867C}">
                  <a14:compatExt spid="_x0000_s3490"/>
                </a:ext>
                <a:ext uri="{FF2B5EF4-FFF2-40B4-BE49-F238E27FC236}">
                  <a16:creationId xmlns:a16="http://schemas.microsoft.com/office/drawing/2014/main" id="{00000000-0008-0000-0200-0000A2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14</xdr:row>
          <xdr:rowOff>0</xdr:rowOff>
        </xdr:from>
        <xdr:to>
          <xdr:col>4</xdr:col>
          <xdr:colOff>228600</xdr:colOff>
          <xdr:row>14</xdr:row>
          <xdr:rowOff>142875</xdr:rowOff>
        </xdr:to>
        <xdr:sp macro="" textlink="">
          <xdr:nvSpPr>
            <xdr:cNvPr id="3491" name="Check Box 419" hidden="1">
              <a:extLst>
                <a:ext uri="{63B3BB69-23CF-44E3-9099-C40C66FF867C}">
                  <a14:compatExt spid="_x0000_s3491"/>
                </a:ext>
                <a:ext uri="{FF2B5EF4-FFF2-40B4-BE49-F238E27FC236}">
                  <a16:creationId xmlns:a16="http://schemas.microsoft.com/office/drawing/2014/main" id="{00000000-0008-0000-0200-0000A3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15</xdr:row>
          <xdr:rowOff>0</xdr:rowOff>
        </xdr:from>
        <xdr:to>
          <xdr:col>4</xdr:col>
          <xdr:colOff>228600</xdr:colOff>
          <xdr:row>15</xdr:row>
          <xdr:rowOff>142875</xdr:rowOff>
        </xdr:to>
        <xdr:sp macro="" textlink="">
          <xdr:nvSpPr>
            <xdr:cNvPr id="3492" name="Check Box 420" hidden="1">
              <a:extLst>
                <a:ext uri="{63B3BB69-23CF-44E3-9099-C40C66FF867C}">
                  <a14:compatExt spid="_x0000_s3492"/>
                </a:ext>
                <a:ext uri="{FF2B5EF4-FFF2-40B4-BE49-F238E27FC236}">
                  <a16:creationId xmlns:a16="http://schemas.microsoft.com/office/drawing/2014/main" id="{00000000-0008-0000-0200-0000A4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16</xdr:row>
          <xdr:rowOff>0</xdr:rowOff>
        </xdr:from>
        <xdr:to>
          <xdr:col>4</xdr:col>
          <xdr:colOff>228600</xdr:colOff>
          <xdr:row>16</xdr:row>
          <xdr:rowOff>142875</xdr:rowOff>
        </xdr:to>
        <xdr:sp macro="" textlink="">
          <xdr:nvSpPr>
            <xdr:cNvPr id="3493" name="Check Box 421" hidden="1">
              <a:extLst>
                <a:ext uri="{63B3BB69-23CF-44E3-9099-C40C66FF867C}">
                  <a14:compatExt spid="_x0000_s3493"/>
                </a:ext>
                <a:ext uri="{FF2B5EF4-FFF2-40B4-BE49-F238E27FC236}">
                  <a16:creationId xmlns:a16="http://schemas.microsoft.com/office/drawing/2014/main" id="{00000000-0008-0000-0200-0000A5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17</xdr:row>
          <xdr:rowOff>0</xdr:rowOff>
        </xdr:from>
        <xdr:to>
          <xdr:col>4</xdr:col>
          <xdr:colOff>228600</xdr:colOff>
          <xdr:row>17</xdr:row>
          <xdr:rowOff>142875</xdr:rowOff>
        </xdr:to>
        <xdr:sp macro="" textlink="">
          <xdr:nvSpPr>
            <xdr:cNvPr id="3494" name="Check Box 422" hidden="1">
              <a:extLst>
                <a:ext uri="{63B3BB69-23CF-44E3-9099-C40C66FF867C}">
                  <a14:compatExt spid="_x0000_s3494"/>
                </a:ext>
                <a:ext uri="{FF2B5EF4-FFF2-40B4-BE49-F238E27FC236}">
                  <a16:creationId xmlns:a16="http://schemas.microsoft.com/office/drawing/2014/main" id="{00000000-0008-0000-0200-0000A6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12</xdr:row>
          <xdr:rowOff>9525</xdr:rowOff>
        </xdr:from>
        <xdr:to>
          <xdr:col>4</xdr:col>
          <xdr:colOff>228600</xdr:colOff>
          <xdr:row>12</xdr:row>
          <xdr:rowOff>152400</xdr:rowOff>
        </xdr:to>
        <xdr:sp macro="" textlink="">
          <xdr:nvSpPr>
            <xdr:cNvPr id="3495" name="Check Box 423" hidden="1">
              <a:extLst>
                <a:ext uri="{63B3BB69-23CF-44E3-9099-C40C66FF867C}">
                  <a14:compatExt spid="_x0000_s3495"/>
                </a:ext>
                <a:ext uri="{FF2B5EF4-FFF2-40B4-BE49-F238E27FC236}">
                  <a16:creationId xmlns:a16="http://schemas.microsoft.com/office/drawing/2014/main" id="{00000000-0008-0000-0200-0000A7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13</xdr:row>
          <xdr:rowOff>9525</xdr:rowOff>
        </xdr:from>
        <xdr:to>
          <xdr:col>4</xdr:col>
          <xdr:colOff>228600</xdr:colOff>
          <xdr:row>13</xdr:row>
          <xdr:rowOff>152400</xdr:rowOff>
        </xdr:to>
        <xdr:sp macro="" textlink="">
          <xdr:nvSpPr>
            <xdr:cNvPr id="3496" name="Check Box 424" hidden="1">
              <a:extLst>
                <a:ext uri="{63B3BB69-23CF-44E3-9099-C40C66FF867C}">
                  <a14:compatExt spid="_x0000_s3496"/>
                </a:ext>
                <a:ext uri="{FF2B5EF4-FFF2-40B4-BE49-F238E27FC236}">
                  <a16:creationId xmlns:a16="http://schemas.microsoft.com/office/drawing/2014/main" id="{00000000-0008-0000-0200-0000A8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14</xdr:row>
          <xdr:rowOff>9525</xdr:rowOff>
        </xdr:from>
        <xdr:to>
          <xdr:col>4</xdr:col>
          <xdr:colOff>228600</xdr:colOff>
          <xdr:row>14</xdr:row>
          <xdr:rowOff>152400</xdr:rowOff>
        </xdr:to>
        <xdr:sp macro="" textlink="">
          <xdr:nvSpPr>
            <xdr:cNvPr id="3497" name="Check Box 425" hidden="1">
              <a:extLst>
                <a:ext uri="{63B3BB69-23CF-44E3-9099-C40C66FF867C}">
                  <a14:compatExt spid="_x0000_s3497"/>
                </a:ext>
                <a:ext uri="{FF2B5EF4-FFF2-40B4-BE49-F238E27FC236}">
                  <a16:creationId xmlns:a16="http://schemas.microsoft.com/office/drawing/2014/main" id="{00000000-0008-0000-0200-0000A9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15</xdr:row>
          <xdr:rowOff>9525</xdr:rowOff>
        </xdr:from>
        <xdr:to>
          <xdr:col>4</xdr:col>
          <xdr:colOff>228600</xdr:colOff>
          <xdr:row>15</xdr:row>
          <xdr:rowOff>152400</xdr:rowOff>
        </xdr:to>
        <xdr:sp macro="" textlink="">
          <xdr:nvSpPr>
            <xdr:cNvPr id="3498" name="Check Box 426" hidden="1">
              <a:extLst>
                <a:ext uri="{63B3BB69-23CF-44E3-9099-C40C66FF867C}">
                  <a14:compatExt spid="_x0000_s3498"/>
                </a:ext>
                <a:ext uri="{FF2B5EF4-FFF2-40B4-BE49-F238E27FC236}">
                  <a16:creationId xmlns:a16="http://schemas.microsoft.com/office/drawing/2014/main" id="{00000000-0008-0000-0200-0000AA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16</xdr:row>
          <xdr:rowOff>9525</xdr:rowOff>
        </xdr:from>
        <xdr:to>
          <xdr:col>4</xdr:col>
          <xdr:colOff>228600</xdr:colOff>
          <xdr:row>16</xdr:row>
          <xdr:rowOff>152400</xdr:rowOff>
        </xdr:to>
        <xdr:sp macro="" textlink="">
          <xdr:nvSpPr>
            <xdr:cNvPr id="3499" name="Check Box 427" hidden="1">
              <a:extLst>
                <a:ext uri="{63B3BB69-23CF-44E3-9099-C40C66FF867C}">
                  <a14:compatExt spid="_x0000_s3499"/>
                </a:ext>
                <a:ext uri="{FF2B5EF4-FFF2-40B4-BE49-F238E27FC236}">
                  <a16:creationId xmlns:a16="http://schemas.microsoft.com/office/drawing/2014/main" id="{00000000-0008-0000-0200-0000AB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17</xdr:row>
          <xdr:rowOff>9525</xdr:rowOff>
        </xdr:from>
        <xdr:to>
          <xdr:col>4</xdr:col>
          <xdr:colOff>228600</xdr:colOff>
          <xdr:row>17</xdr:row>
          <xdr:rowOff>152400</xdr:rowOff>
        </xdr:to>
        <xdr:sp macro="" textlink="">
          <xdr:nvSpPr>
            <xdr:cNvPr id="3500" name="Check Box 428" hidden="1">
              <a:extLst>
                <a:ext uri="{63B3BB69-23CF-44E3-9099-C40C66FF867C}">
                  <a14:compatExt spid="_x0000_s3500"/>
                </a:ext>
                <a:ext uri="{FF2B5EF4-FFF2-40B4-BE49-F238E27FC236}">
                  <a16:creationId xmlns:a16="http://schemas.microsoft.com/office/drawing/2014/main" id="{00000000-0008-0000-0200-0000AC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12</xdr:row>
          <xdr:rowOff>9525</xdr:rowOff>
        </xdr:from>
        <xdr:to>
          <xdr:col>4</xdr:col>
          <xdr:colOff>228600</xdr:colOff>
          <xdr:row>12</xdr:row>
          <xdr:rowOff>152400</xdr:rowOff>
        </xdr:to>
        <xdr:sp macro="" textlink="">
          <xdr:nvSpPr>
            <xdr:cNvPr id="3501" name="Check Box 429" hidden="1">
              <a:extLst>
                <a:ext uri="{63B3BB69-23CF-44E3-9099-C40C66FF867C}">
                  <a14:compatExt spid="_x0000_s3501"/>
                </a:ext>
                <a:ext uri="{FF2B5EF4-FFF2-40B4-BE49-F238E27FC236}">
                  <a16:creationId xmlns:a16="http://schemas.microsoft.com/office/drawing/2014/main" id="{00000000-0008-0000-0200-0000AD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13</xdr:row>
          <xdr:rowOff>9525</xdr:rowOff>
        </xdr:from>
        <xdr:to>
          <xdr:col>4</xdr:col>
          <xdr:colOff>228600</xdr:colOff>
          <xdr:row>13</xdr:row>
          <xdr:rowOff>152400</xdr:rowOff>
        </xdr:to>
        <xdr:sp macro="" textlink="">
          <xdr:nvSpPr>
            <xdr:cNvPr id="3502" name="Check Box 430" hidden="1">
              <a:extLst>
                <a:ext uri="{63B3BB69-23CF-44E3-9099-C40C66FF867C}">
                  <a14:compatExt spid="_x0000_s3502"/>
                </a:ext>
                <a:ext uri="{FF2B5EF4-FFF2-40B4-BE49-F238E27FC236}">
                  <a16:creationId xmlns:a16="http://schemas.microsoft.com/office/drawing/2014/main" id="{00000000-0008-0000-0200-0000AE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14</xdr:row>
          <xdr:rowOff>9525</xdr:rowOff>
        </xdr:from>
        <xdr:to>
          <xdr:col>4</xdr:col>
          <xdr:colOff>228600</xdr:colOff>
          <xdr:row>14</xdr:row>
          <xdr:rowOff>152400</xdr:rowOff>
        </xdr:to>
        <xdr:sp macro="" textlink="">
          <xdr:nvSpPr>
            <xdr:cNvPr id="3503" name="Check Box 431" hidden="1">
              <a:extLst>
                <a:ext uri="{63B3BB69-23CF-44E3-9099-C40C66FF867C}">
                  <a14:compatExt spid="_x0000_s3503"/>
                </a:ext>
                <a:ext uri="{FF2B5EF4-FFF2-40B4-BE49-F238E27FC236}">
                  <a16:creationId xmlns:a16="http://schemas.microsoft.com/office/drawing/2014/main" id="{00000000-0008-0000-0200-0000AF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15</xdr:row>
          <xdr:rowOff>9525</xdr:rowOff>
        </xdr:from>
        <xdr:to>
          <xdr:col>4</xdr:col>
          <xdr:colOff>228600</xdr:colOff>
          <xdr:row>15</xdr:row>
          <xdr:rowOff>152400</xdr:rowOff>
        </xdr:to>
        <xdr:sp macro="" textlink="">
          <xdr:nvSpPr>
            <xdr:cNvPr id="3504" name="Check Box 432" hidden="1">
              <a:extLst>
                <a:ext uri="{63B3BB69-23CF-44E3-9099-C40C66FF867C}">
                  <a14:compatExt spid="_x0000_s3504"/>
                </a:ext>
                <a:ext uri="{FF2B5EF4-FFF2-40B4-BE49-F238E27FC236}">
                  <a16:creationId xmlns:a16="http://schemas.microsoft.com/office/drawing/2014/main" id="{00000000-0008-0000-0200-0000B0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16</xdr:row>
          <xdr:rowOff>9525</xdr:rowOff>
        </xdr:from>
        <xdr:to>
          <xdr:col>4</xdr:col>
          <xdr:colOff>228600</xdr:colOff>
          <xdr:row>16</xdr:row>
          <xdr:rowOff>152400</xdr:rowOff>
        </xdr:to>
        <xdr:sp macro="" textlink="">
          <xdr:nvSpPr>
            <xdr:cNvPr id="3505" name="Check Box 433" hidden="1">
              <a:extLst>
                <a:ext uri="{63B3BB69-23CF-44E3-9099-C40C66FF867C}">
                  <a14:compatExt spid="_x0000_s3505"/>
                </a:ext>
                <a:ext uri="{FF2B5EF4-FFF2-40B4-BE49-F238E27FC236}">
                  <a16:creationId xmlns:a16="http://schemas.microsoft.com/office/drawing/2014/main" id="{00000000-0008-0000-0200-0000B1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17</xdr:row>
          <xdr:rowOff>9525</xdr:rowOff>
        </xdr:from>
        <xdr:to>
          <xdr:col>4</xdr:col>
          <xdr:colOff>228600</xdr:colOff>
          <xdr:row>17</xdr:row>
          <xdr:rowOff>152400</xdr:rowOff>
        </xdr:to>
        <xdr:sp macro="" textlink="">
          <xdr:nvSpPr>
            <xdr:cNvPr id="3506" name="Check Box 434" hidden="1">
              <a:extLst>
                <a:ext uri="{63B3BB69-23CF-44E3-9099-C40C66FF867C}">
                  <a14:compatExt spid="_x0000_s3506"/>
                </a:ext>
                <a:ext uri="{FF2B5EF4-FFF2-40B4-BE49-F238E27FC236}">
                  <a16:creationId xmlns:a16="http://schemas.microsoft.com/office/drawing/2014/main" id="{00000000-0008-0000-0200-0000B2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158</xdr:row>
          <xdr:rowOff>0</xdr:rowOff>
        </xdr:from>
        <xdr:to>
          <xdr:col>4</xdr:col>
          <xdr:colOff>228600</xdr:colOff>
          <xdr:row>158</xdr:row>
          <xdr:rowOff>142875</xdr:rowOff>
        </xdr:to>
        <xdr:sp macro="" textlink="">
          <xdr:nvSpPr>
            <xdr:cNvPr id="3507" name="Check Box 435" hidden="1">
              <a:extLst>
                <a:ext uri="{63B3BB69-23CF-44E3-9099-C40C66FF867C}">
                  <a14:compatExt spid="_x0000_s3507"/>
                </a:ext>
                <a:ext uri="{FF2B5EF4-FFF2-40B4-BE49-F238E27FC236}">
                  <a16:creationId xmlns:a16="http://schemas.microsoft.com/office/drawing/2014/main" id="{00000000-0008-0000-0200-0000B3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159</xdr:row>
          <xdr:rowOff>0</xdr:rowOff>
        </xdr:from>
        <xdr:to>
          <xdr:col>4</xdr:col>
          <xdr:colOff>228600</xdr:colOff>
          <xdr:row>159</xdr:row>
          <xdr:rowOff>142875</xdr:rowOff>
        </xdr:to>
        <xdr:sp macro="" textlink="">
          <xdr:nvSpPr>
            <xdr:cNvPr id="3508" name="Check Box 436" hidden="1">
              <a:extLst>
                <a:ext uri="{63B3BB69-23CF-44E3-9099-C40C66FF867C}">
                  <a14:compatExt spid="_x0000_s3508"/>
                </a:ext>
                <a:ext uri="{FF2B5EF4-FFF2-40B4-BE49-F238E27FC236}">
                  <a16:creationId xmlns:a16="http://schemas.microsoft.com/office/drawing/2014/main" id="{00000000-0008-0000-0200-0000B4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160</xdr:row>
          <xdr:rowOff>0</xdr:rowOff>
        </xdr:from>
        <xdr:to>
          <xdr:col>4</xdr:col>
          <xdr:colOff>228600</xdr:colOff>
          <xdr:row>160</xdr:row>
          <xdr:rowOff>142875</xdr:rowOff>
        </xdr:to>
        <xdr:sp macro="" textlink="">
          <xdr:nvSpPr>
            <xdr:cNvPr id="3509" name="Check Box 437" hidden="1">
              <a:extLst>
                <a:ext uri="{63B3BB69-23CF-44E3-9099-C40C66FF867C}">
                  <a14:compatExt spid="_x0000_s3509"/>
                </a:ext>
                <a:ext uri="{FF2B5EF4-FFF2-40B4-BE49-F238E27FC236}">
                  <a16:creationId xmlns:a16="http://schemas.microsoft.com/office/drawing/2014/main" id="{00000000-0008-0000-0200-0000B5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161</xdr:row>
          <xdr:rowOff>0</xdr:rowOff>
        </xdr:from>
        <xdr:to>
          <xdr:col>4</xdr:col>
          <xdr:colOff>228600</xdr:colOff>
          <xdr:row>161</xdr:row>
          <xdr:rowOff>142875</xdr:rowOff>
        </xdr:to>
        <xdr:sp macro="" textlink="">
          <xdr:nvSpPr>
            <xdr:cNvPr id="3510" name="Check Box 438" hidden="1">
              <a:extLst>
                <a:ext uri="{63B3BB69-23CF-44E3-9099-C40C66FF867C}">
                  <a14:compatExt spid="_x0000_s3510"/>
                </a:ext>
                <a:ext uri="{FF2B5EF4-FFF2-40B4-BE49-F238E27FC236}">
                  <a16:creationId xmlns:a16="http://schemas.microsoft.com/office/drawing/2014/main" id="{00000000-0008-0000-0200-0000B6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162</xdr:row>
          <xdr:rowOff>0</xdr:rowOff>
        </xdr:from>
        <xdr:to>
          <xdr:col>4</xdr:col>
          <xdr:colOff>228600</xdr:colOff>
          <xdr:row>162</xdr:row>
          <xdr:rowOff>142875</xdr:rowOff>
        </xdr:to>
        <xdr:sp macro="" textlink="">
          <xdr:nvSpPr>
            <xdr:cNvPr id="3511" name="Check Box 439" hidden="1">
              <a:extLst>
                <a:ext uri="{63B3BB69-23CF-44E3-9099-C40C66FF867C}">
                  <a14:compatExt spid="_x0000_s3511"/>
                </a:ext>
                <a:ext uri="{FF2B5EF4-FFF2-40B4-BE49-F238E27FC236}">
                  <a16:creationId xmlns:a16="http://schemas.microsoft.com/office/drawing/2014/main" id="{00000000-0008-0000-0200-0000B7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163</xdr:row>
          <xdr:rowOff>0</xdr:rowOff>
        </xdr:from>
        <xdr:to>
          <xdr:col>4</xdr:col>
          <xdr:colOff>228600</xdr:colOff>
          <xdr:row>163</xdr:row>
          <xdr:rowOff>142875</xdr:rowOff>
        </xdr:to>
        <xdr:sp macro="" textlink="">
          <xdr:nvSpPr>
            <xdr:cNvPr id="3512" name="Check Box 440" hidden="1">
              <a:extLst>
                <a:ext uri="{63B3BB69-23CF-44E3-9099-C40C66FF867C}">
                  <a14:compatExt spid="_x0000_s3512"/>
                </a:ext>
                <a:ext uri="{FF2B5EF4-FFF2-40B4-BE49-F238E27FC236}">
                  <a16:creationId xmlns:a16="http://schemas.microsoft.com/office/drawing/2014/main" id="{00000000-0008-0000-0200-0000B8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206</xdr:row>
          <xdr:rowOff>0</xdr:rowOff>
        </xdr:from>
        <xdr:to>
          <xdr:col>4</xdr:col>
          <xdr:colOff>228600</xdr:colOff>
          <xdr:row>206</xdr:row>
          <xdr:rowOff>142875</xdr:rowOff>
        </xdr:to>
        <xdr:sp macro="" textlink="">
          <xdr:nvSpPr>
            <xdr:cNvPr id="3513" name="Check Box 441" hidden="1">
              <a:extLst>
                <a:ext uri="{63B3BB69-23CF-44E3-9099-C40C66FF867C}">
                  <a14:compatExt spid="_x0000_s3513"/>
                </a:ext>
                <a:ext uri="{FF2B5EF4-FFF2-40B4-BE49-F238E27FC236}">
                  <a16:creationId xmlns:a16="http://schemas.microsoft.com/office/drawing/2014/main" id="{00000000-0008-0000-0200-0000B9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207</xdr:row>
          <xdr:rowOff>0</xdr:rowOff>
        </xdr:from>
        <xdr:to>
          <xdr:col>4</xdr:col>
          <xdr:colOff>228600</xdr:colOff>
          <xdr:row>207</xdr:row>
          <xdr:rowOff>142875</xdr:rowOff>
        </xdr:to>
        <xdr:sp macro="" textlink="">
          <xdr:nvSpPr>
            <xdr:cNvPr id="3514" name="Check Box 442" hidden="1">
              <a:extLst>
                <a:ext uri="{63B3BB69-23CF-44E3-9099-C40C66FF867C}">
                  <a14:compatExt spid="_x0000_s3514"/>
                </a:ext>
                <a:ext uri="{FF2B5EF4-FFF2-40B4-BE49-F238E27FC236}">
                  <a16:creationId xmlns:a16="http://schemas.microsoft.com/office/drawing/2014/main" id="{00000000-0008-0000-0200-0000BA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226</xdr:row>
          <xdr:rowOff>0</xdr:rowOff>
        </xdr:from>
        <xdr:to>
          <xdr:col>4</xdr:col>
          <xdr:colOff>228600</xdr:colOff>
          <xdr:row>226</xdr:row>
          <xdr:rowOff>142875</xdr:rowOff>
        </xdr:to>
        <xdr:sp macro="" textlink="">
          <xdr:nvSpPr>
            <xdr:cNvPr id="3517" name="Check Box 445" hidden="1">
              <a:extLst>
                <a:ext uri="{63B3BB69-23CF-44E3-9099-C40C66FF867C}">
                  <a14:compatExt spid="_x0000_s3517"/>
                </a:ext>
                <a:ext uri="{FF2B5EF4-FFF2-40B4-BE49-F238E27FC236}">
                  <a16:creationId xmlns:a16="http://schemas.microsoft.com/office/drawing/2014/main" id="{00000000-0008-0000-0200-0000BD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227</xdr:row>
          <xdr:rowOff>0</xdr:rowOff>
        </xdr:from>
        <xdr:to>
          <xdr:col>4</xdr:col>
          <xdr:colOff>228600</xdr:colOff>
          <xdr:row>227</xdr:row>
          <xdr:rowOff>142875</xdr:rowOff>
        </xdr:to>
        <xdr:sp macro="" textlink="">
          <xdr:nvSpPr>
            <xdr:cNvPr id="3518" name="Check Box 446" hidden="1">
              <a:extLst>
                <a:ext uri="{63B3BB69-23CF-44E3-9099-C40C66FF867C}">
                  <a14:compatExt spid="_x0000_s3518"/>
                </a:ext>
                <a:ext uri="{FF2B5EF4-FFF2-40B4-BE49-F238E27FC236}">
                  <a16:creationId xmlns:a16="http://schemas.microsoft.com/office/drawing/2014/main" id="{00000000-0008-0000-0200-0000BE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240</xdr:row>
          <xdr:rowOff>0</xdr:rowOff>
        </xdr:from>
        <xdr:to>
          <xdr:col>4</xdr:col>
          <xdr:colOff>228600</xdr:colOff>
          <xdr:row>240</xdr:row>
          <xdr:rowOff>142875</xdr:rowOff>
        </xdr:to>
        <xdr:sp macro="" textlink="">
          <xdr:nvSpPr>
            <xdr:cNvPr id="3519" name="Check Box 447" hidden="1">
              <a:extLst>
                <a:ext uri="{63B3BB69-23CF-44E3-9099-C40C66FF867C}">
                  <a14:compatExt spid="_x0000_s3519"/>
                </a:ext>
                <a:ext uri="{FF2B5EF4-FFF2-40B4-BE49-F238E27FC236}">
                  <a16:creationId xmlns:a16="http://schemas.microsoft.com/office/drawing/2014/main" id="{00000000-0008-0000-0200-0000BF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241</xdr:row>
          <xdr:rowOff>0</xdr:rowOff>
        </xdr:from>
        <xdr:to>
          <xdr:col>4</xdr:col>
          <xdr:colOff>228600</xdr:colOff>
          <xdr:row>241</xdr:row>
          <xdr:rowOff>142875</xdr:rowOff>
        </xdr:to>
        <xdr:sp macro="" textlink="">
          <xdr:nvSpPr>
            <xdr:cNvPr id="3520" name="Check Box 448" hidden="1">
              <a:extLst>
                <a:ext uri="{63B3BB69-23CF-44E3-9099-C40C66FF867C}">
                  <a14:compatExt spid="_x0000_s3520"/>
                </a:ext>
                <a:ext uri="{FF2B5EF4-FFF2-40B4-BE49-F238E27FC236}">
                  <a16:creationId xmlns:a16="http://schemas.microsoft.com/office/drawing/2014/main" id="{00000000-0008-0000-0200-0000C0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242</xdr:row>
          <xdr:rowOff>0</xdr:rowOff>
        </xdr:from>
        <xdr:to>
          <xdr:col>4</xdr:col>
          <xdr:colOff>228600</xdr:colOff>
          <xdr:row>242</xdr:row>
          <xdr:rowOff>142875</xdr:rowOff>
        </xdr:to>
        <xdr:sp macro="" textlink="">
          <xdr:nvSpPr>
            <xdr:cNvPr id="3521" name="Check Box 449" hidden="1">
              <a:extLst>
                <a:ext uri="{63B3BB69-23CF-44E3-9099-C40C66FF867C}">
                  <a14:compatExt spid="_x0000_s3521"/>
                </a:ext>
                <a:ext uri="{FF2B5EF4-FFF2-40B4-BE49-F238E27FC236}">
                  <a16:creationId xmlns:a16="http://schemas.microsoft.com/office/drawing/2014/main" id="{00000000-0008-0000-0200-0000C1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243</xdr:row>
          <xdr:rowOff>0</xdr:rowOff>
        </xdr:from>
        <xdr:to>
          <xdr:col>4</xdr:col>
          <xdr:colOff>228600</xdr:colOff>
          <xdr:row>243</xdr:row>
          <xdr:rowOff>142875</xdr:rowOff>
        </xdr:to>
        <xdr:sp macro="" textlink="">
          <xdr:nvSpPr>
            <xdr:cNvPr id="3522" name="Check Box 450" hidden="1">
              <a:extLst>
                <a:ext uri="{63B3BB69-23CF-44E3-9099-C40C66FF867C}">
                  <a14:compatExt spid="_x0000_s3522"/>
                </a:ext>
                <a:ext uri="{FF2B5EF4-FFF2-40B4-BE49-F238E27FC236}">
                  <a16:creationId xmlns:a16="http://schemas.microsoft.com/office/drawing/2014/main" id="{00000000-0008-0000-0200-0000C2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244</xdr:row>
          <xdr:rowOff>0</xdr:rowOff>
        </xdr:from>
        <xdr:to>
          <xdr:col>4</xdr:col>
          <xdr:colOff>228600</xdr:colOff>
          <xdr:row>244</xdr:row>
          <xdr:rowOff>142875</xdr:rowOff>
        </xdr:to>
        <xdr:sp macro="" textlink="">
          <xdr:nvSpPr>
            <xdr:cNvPr id="3523" name="Check Box 451" hidden="1">
              <a:extLst>
                <a:ext uri="{63B3BB69-23CF-44E3-9099-C40C66FF867C}">
                  <a14:compatExt spid="_x0000_s3523"/>
                </a:ext>
                <a:ext uri="{FF2B5EF4-FFF2-40B4-BE49-F238E27FC236}">
                  <a16:creationId xmlns:a16="http://schemas.microsoft.com/office/drawing/2014/main" id="{00000000-0008-0000-0200-0000C3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245</xdr:row>
          <xdr:rowOff>0</xdr:rowOff>
        </xdr:from>
        <xdr:to>
          <xdr:col>4</xdr:col>
          <xdr:colOff>228600</xdr:colOff>
          <xdr:row>245</xdr:row>
          <xdr:rowOff>142875</xdr:rowOff>
        </xdr:to>
        <xdr:sp macro="" textlink="">
          <xdr:nvSpPr>
            <xdr:cNvPr id="3524" name="Check Box 452" hidden="1">
              <a:extLst>
                <a:ext uri="{63B3BB69-23CF-44E3-9099-C40C66FF867C}">
                  <a14:compatExt spid="_x0000_s3524"/>
                </a:ext>
                <a:ext uri="{FF2B5EF4-FFF2-40B4-BE49-F238E27FC236}">
                  <a16:creationId xmlns:a16="http://schemas.microsoft.com/office/drawing/2014/main" id="{00000000-0008-0000-0200-0000C4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246</xdr:row>
          <xdr:rowOff>0</xdr:rowOff>
        </xdr:from>
        <xdr:to>
          <xdr:col>4</xdr:col>
          <xdr:colOff>228600</xdr:colOff>
          <xdr:row>246</xdr:row>
          <xdr:rowOff>142875</xdr:rowOff>
        </xdr:to>
        <xdr:sp macro="" textlink="">
          <xdr:nvSpPr>
            <xdr:cNvPr id="3525" name="Check Box 453" hidden="1">
              <a:extLst>
                <a:ext uri="{63B3BB69-23CF-44E3-9099-C40C66FF867C}">
                  <a14:compatExt spid="_x0000_s3525"/>
                </a:ext>
                <a:ext uri="{FF2B5EF4-FFF2-40B4-BE49-F238E27FC236}">
                  <a16:creationId xmlns:a16="http://schemas.microsoft.com/office/drawing/2014/main" id="{00000000-0008-0000-0200-0000C5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247</xdr:row>
          <xdr:rowOff>0</xdr:rowOff>
        </xdr:from>
        <xdr:to>
          <xdr:col>4</xdr:col>
          <xdr:colOff>228600</xdr:colOff>
          <xdr:row>247</xdr:row>
          <xdr:rowOff>142875</xdr:rowOff>
        </xdr:to>
        <xdr:sp macro="" textlink="">
          <xdr:nvSpPr>
            <xdr:cNvPr id="3526" name="Check Box 454" hidden="1">
              <a:extLst>
                <a:ext uri="{63B3BB69-23CF-44E3-9099-C40C66FF867C}">
                  <a14:compatExt spid="_x0000_s3526"/>
                </a:ext>
                <a:ext uri="{FF2B5EF4-FFF2-40B4-BE49-F238E27FC236}">
                  <a16:creationId xmlns:a16="http://schemas.microsoft.com/office/drawing/2014/main" id="{00000000-0008-0000-0200-0000C6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208</xdr:row>
          <xdr:rowOff>0</xdr:rowOff>
        </xdr:from>
        <xdr:to>
          <xdr:col>4</xdr:col>
          <xdr:colOff>228600</xdr:colOff>
          <xdr:row>208</xdr:row>
          <xdr:rowOff>142875</xdr:rowOff>
        </xdr:to>
        <xdr:sp macro="" textlink="">
          <xdr:nvSpPr>
            <xdr:cNvPr id="3527" name="Check Box 455" hidden="1">
              <a:extLst>
                <a:ext uri="{63B3BB69-23CF-44E3-9099-C40C66FF867C}">
                  <a14:compatExt spid="_x0000_s3527"/>
                </a:ext>
                <a:ext uri="{FF2B5EF4-FFF2-40B4-BE49-F238E27FC236}">
                  <a16:creationId xmlns:a16="http://schemas.microsoft.com/office/drawing/2014/main" id="{00000000-0008-0000-0200-0000C7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209</xdr:row>
          <xdr:rowOff>0</xdr:rowOff>
        </xdr:from>
        <xdr:to>
          <xdr:col>4</xdr:col>
          <xdr:colOff>228600</xdr:colOff>
          <xdr:row>209</xdr:row>
          <xdr:rowOff>142875</xdr:rowOff>
        </xdr:to>
        <xdr:sp macro="" textlink="">
          <xdr:nvSpPr>
            <xdr:cNvPr id="3528" name="Check Box 456" hidden="1">
              <a:extLst>
                <a:ext uri="{63B3BB69-23CF-44E3-9099-C40C66FF867C}">
                  <a14:compatExt spid="_x0000_s3528"/>
                </a:ext>
                <a:ext uri="{FF2B5EF4-FFF2-40B4-BE49-F238E27FC236}">
                  <a16:creationId xmlns:a16="http://schemas.microsoft.com/office/drawing/2014/main" id="{00000000-0008-0000-0200-0000C8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220</xdr:row>
          <xdr:rowOff>0</xdr:rowOff>
        </xdr:from>
        <xdr:to>
          <xdr:col>4</xdr:col>
          <xdr:colOff>228600</xdr:colOff>
          <xdr:row>220</xdr:row>
          <xdr:rowOff>142875</xdr:rowOff>
        </xdr:to>
        <xdr:sp macro="" textlink="">
          <xdr:nvSpPr>
            <xdr:cNvPr id="3529" name="Check Box 457" hidden="1">
              <a:extLst>
                <a:ext uri="{63B3BB69-23CF-44E3-9099-C40C66FF867C}">
                  <a14:compatExt spid="_x0000_s3529"/>
                </a:ext>
                <a:ext uri="{FF2B5EF4-FFF2-40B4-BE49-F238E27FC236}">
                  <a16:creationId xmlns:a16="http://schemas.microsoft.com/office/drawing/2014/main" id="{00000000-0008-0000-0200-0000C9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221</xdr:row>
          <xdr:rowOff>0</xdr:rowOff>
        </xdr:from>
        <xdr:to>
          <xdr:col>4</xdr:col>
          <xdr:colOff>228600</xdr:colOff>
          <xdr:row>221</xdr:row>
          <xdr:rowOff>142875</xdr:rowOff>
        </xdr:to>
        <xdr:sp macro="" textlink="">
          <xdr:nvSpPr>
            <xdr:cNvPr id="3530" name="Check Box 458" hidden="1">
              <a:extLst>
                <a:ext uri="{63B3BB69-23CF-44E3-9099-C40C66FF867C}">
                  <a14:compatExt spid="_x0000_s3530"/>
                </a:ext>
                <a:ext uri="{FF2B5EF4-FFF2-40B4-BE49-F238E27FC236}">
                  <a16:creationId xmlns:a16="http://schemas.microsoft.com/office/drawing/2014/main" id="{00000000-0008-0000-0200-0000CA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228</xdr:row>
          <xdr:rowOff>0</xdr:rowOff>
        </xdr:from>
        <xdr:to>
          <xdr:col>4</xdr:col>
          <xdr:colOff>228600</xdr:colOff>
          <xdr:row>228</xdr:row>
          <xdr:rowOff>142875</xdr:rowOff>
        </xdr:to>
        <xdr:sp macro="" textlink="">
          <xdr:nvSpPr>
            <xdr:cNvPr id="3531" name="Check Box 459" hidden="1">
              <a:extLst>
                <a:ext uri="{63B3BB69-23CF-44E3-9099-C40C66FF867C}">
                  <a14:compatExt spid="_x0000_s3531"/>
                </a:ext>
                <a:ext uri="{FF2B5EF4-FFF2-40B4-BE49-F238E27FC236}">
                  <a16:creationId xmlns:a16="http://schemas.microsoft.com/office/drawing/2014/main" id="{00000000-0008-0000-0200-0000CB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229</xdr:row>
          <xdr:rowOff>0</xdr:rowOff>
        </xdr:from>
        <xdr:to>
          <xdr:col>4</xdr:col>
          <xdr:colOff>228600</xdr:colOff>
          <xdr:row>229</xdr:row>
          <xdr:rowOff>142875</xdr:rowOff>
        </xdr:to>
        <xdr:sp macro="" textlink="">
          <xdr:nvSpPr>
            <xdr:cNvPr id="3532" name="Check Box 460" hidden="1">
              <a:extLst>
                <a:ext uri="{63B3BB69-23CF-44E3-9099-C40C66FF867C}">
                  <a14:compatExt spid="_x0000_s3532"/>
                </a:ext>
                <a:ext uri="{FF2B5EF4-FFF2-40B4-BE49-F238E27FC236}">
                  <a16:creationId xmlns:a16="http://schemas.microsoft.com/office/drawing/2014/main" id="{00000000-0008-0000-0200-0000CC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210</xdr:row>
          <xdr:rowOff>0</xdr:rowOff>
        </xdr:from>
        <xdr:to>
          <xdr:col>4</xdr:col>
          <xdr:colOff>228600</xdr:colOff>
          <xdr:row>210</xdr:row>
          <xdr:rowOff>142875</xdr:rowOff>
        </xdr:to>
        <xdr:sp macro="" textlink="">
          <xdr:nvSpPr>
            <xdr:cNvPr id="3533" name="Check Box 461" hidden="1">
              <a:extLst>
                <a:ext uri="{63B3BB69-23CF-44E3-9099-C40C66FF867C}">
                  <a14:compatExt spid="_x0000_s3533"/>
                </a:ext>
                <a:ext uri="{FF2B5EF4-FFF2-40B4-BE49-F238E27FC236}">
                  <a16:creationId xmlns:a16="http://schemas.microsoft.com/office/drawing/2014/main" id="{00000000-0008-0000-0200-0000CD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211</xdr:row>
          <xdr:rowOff>0</xdr:rowOff>
        </xdr:from>
        <xdr:to>
          <xdr:col>4</xdr:col>
          <xdr:colOff>228600</xdr:colOff>
          <xdr:row>211</xdr:row>
          <xdr:rowOff>142875</xdr:rowOff>
        </xdr:to>
        <xdr:sp macro="" textlink="">
          <xdr:nvSpPr>
            <xdr:cNvPr id="3534" name="Check Box 462" hidden="1">
              <a:extLst>
                <a:ext uri="{63B3BB69-23CF-44E3-9099-C40C66FF867C}">
                  <a14:compatExt spid="_x0000_s3534"/>
                </a:ext>
                <a:ext uri="{FF2B5EF4-FFF2-40B4-BE49-F238E27FC236}">
                  <a16:creationId xmlns:a16="http://schemas.microsoft.com/office/drawing/2014/main" id="{00000000-0008-0000-0200-0000CE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222</xdr:row>
          <xdr:rowOff>0</xdr:rowOff>
        </xdr:from>
        <xdr:to>
          <xdr:col>4</xdr:col>
          <xdr:colOff>228600</xdr:colOff>
          <xdr:row>222</xdr:row>
          <xdr:rowOff>142875</xdr:rowOff>
        </xdr:to>
        <xdr:sp macro="" textlink="">
          <xdr:nvSpPr>
            <xdr:cNvPr id="3535" name="Check Box 463" hidden="1">
              <a:extLst>
                <a:ext uri="{63B3BB69-23CF-44E3-9099-C40C66FF867C}">
                  <a14:compatExt spid="_x0000_s3535"/>
                </a:ext>
                <a:ext uri="{FF2B5EF4-FFF2-40B4-BE49-F238E27FC236}">
                  <a16:creationId xmlns:a16="http://schemas.microsoft.com/office/drawing/2014/main" id="{00000000-0008-0000-0200-0000CF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223</xdr:row>
          <xdr:rowOff>0</xdr:rowOff>
        </xdr:from>
        <xdr:to>
          <xdr:col>4</xdr:col>
          <xdr:colOff>228600</xdr:colOff>
          <xdr:row>223</xdr:row>
          <xdr:rowOff>142875</xdr:rowOff>
        </xdr:to>
        <xdr:sp macro="" textlink="">
          <xdr:nvSpPr>
            <xdr:cNvPr id="3536" name="Check Box 464" hidden="1">
              <a:extLst>
                <a:ext uri="{63B3BB69-23CF-44E3-9099-C40C66FF867C}">
                  <a14:compatExt spid="_x0000_s3536"/>
                </a:ext>
                <a:ext uri="{FF2B5EF4-FFF2-40B4-BE49-F238E27FC236}">
                  <a16:creationId xmlns:a16="http://schemas.microsoft.com/office/drawing/2014/main" id="{00000000-0008-0000-0200-0000D0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230</xdr:row>
          <xdr:rowOff>0</xdr:rowOff>
        </xdr:from>
        <xdr:to>
          <xdr:col>4</xdr:col>
          <xdr:colOff>228600</xdr:colOff>
          <xdr:row>230</xdr:row>
          <xdr:rowOff>142875</xdr:rowOff>
        </xdr:to>
        <xdr:sp macro="" textlink="">
          <xdr:nvSpPr>
            <xdr:cNvPr id="3537" name="Check Box 465" hidden="1">
              <a:extLst>
                <a:ext uri="{63B3BB69-23CF-44E3-9099-C40C66FF867C}">
                  <a14:compatExt spid="_x0000_s3537"/>
                </a:ext>
                <a:ext uri="{FF2B5EF4-FFF2-40B4-BE49-F238E27FC236}">
                  <a16:creationId xmlns:a16="http://schemas.microsoft.com/office/drawing/2014/main" id="{00000000-0008-0000-0200-0000D1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231</xdr:row>
          <xdr:rowOff>0</xdr:rowOff>
        </xdr:from>
        <xdr:to>
          <xdr:col>4</xdr:col>
          <xdr:colOff>228600</xdr:colOff>
          <xdr:row>231</xdr:row>
          <xdr:rowOff>142875</xdr:rowOff>
        </xdr:to>
        <xdr:sp macro="" textlink="">
          <xdr:nvSpPr>
            <xdr:cNvPr id="3538" name="Check Box 466" hidden="1">
              <a:extLst>
                <a:ext uri="{63B3BB69-23CF-44E3-9099-C40C66FF867C}">
                  <a14:compatExt spid="_x0000_s3538"/>
                </a:ext>
                <a:ext uri="{FF2B5EF4-FFF2-40B4-BE49-F238E27FC236}">
                  <a16:creationId xmlns:a16="http://schemas.microsoft.com/office/drawing/2014/main" id="{00000000-0008-0000-0200-0000D20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enry Eduardo Tovar Subero" id="{8BD62BA1-6DFF-42A0-85B2-6BBAF4ED7B4E}" userId="S::jenry.tovar@ecopetrol.com.co::6d481dc5-af11-482a-9b8f-dfae81b83c64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dT="2022-06-22T02:59:25.12" personId="{8BD62BA1-6DFF-42A0-85B2-6BBAF4ED7B4E}" id="{68AEB0AC-0407-45DE-9AAC-7E51765E0BEA}">
    <text>Insertar cantidad de km 2D</text>
  </threadedComment>
  <threadedComment ref="D3" dT="2022-06-22T03:00:02.47" personId="{8BD62BA1-6DFF-42A0-85B2-6BBAF4ED7B4E}" id="{9E4D73EB-B598-4F8C-A44A-A57ED5059BA6}">
    <text>Insertar cantidad de km2 3D</text>
  </threadedComment>
  <threadedComment ref="D5" dT="2022-06-22T03:00:23.87" personId="{8BD62BA1-6DFF-42A0-85B2-6BBAF4ED7B4E}" id="{79DF478B-08F7-4BB8-B34B-D143C22470B0}">
    <text>Insertar cantidad de tomografías 2D</text>
  </threadedComment>
  <threadedComment ref="D6" dT="2022-06-22T03:00:39.25" personId="{8BD62BA1-6DFF-42A0-85B2-6BBAF4ED7B4E}" id="{7E031124-C278-4193-82FC-8726386DF9B8}">
    <text>Insertar cantidad de tomografías 3D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" dT="2022-06-22T02:59:25.12" personId="{8BD62BA1-6DFF-42A0-85B2-6BBAF4ED7B4E}" id="{D0F4E264-F25D-441D-8FB4-B59490C3C804}">
    <text>Insertar cantidad de km 2D</text>
  </threadedComment>
  <threadedComment ref="D2" dT="2022-06-22T03:00:02.47" personId="{8BD62BA1-6DFF-42A0-85B2-6BBAF4ED7B4E}" id="{B412F1D6-966E-4C5B-935F-9E3CBADB0CF6}">
    <text>Insertar cantidad de km2 3D</text>
  </threadedComment>
  <threadedComment ref="D3" dT="2022-06-22T03:00:23.87" personId="{8BD62BA1-6DFF-42A0-85B2-6BBAF4ED7B4E}" id="{3B8AB228-CA79-4DAE-AE65-D821C59FC55B}">
    <text>Insertar cantidad de tomografías 2D</text>
  </threadedComment>
  <threadedComment ref="D4" dT="2022-06-22T03:00:39.25" personId="{8BD62BA1-6DFF-42A0-85B2-6BBAF4ED7B4E}" id="{DA083F55-D541-4931-BE67-B508F88D93D4}">
    <text>Insertar cantidad de tomografías 3D</text>
  </threadedComment>
</ThreadedComments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50" Type="http://schemas.openxmlformats.org/officeDocument/2006/relationships/ctrlProp" Target="../ctrlProps/ctrlProp47.x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9" Type="http://schemas.openxmlformats.org/officeDocument/2006/relationships/ctrlProp" Target="../ctrlProps/ctrlProp26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53" Type="http://schemas.microsoft.com/office/2017/10/relationships/threadedComment" Target="../threadedComments/threadedComment1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omments" Target="../comments1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162.xml"/><Relationship Id="rId299" Type="http://schemas.openxmlformats.org/officeDocument/2006/relationships/ctrlProp" Target="../ctrlProps/ctrlProp344.xml"/><Relationship Id="rId21" Type="http://schemas.openxmlformats.org/officeDocument/2006/relationships/ctrlProp" Target="../ctrlProps/ctrlProp66.xml"/><Relationship Id="rId63" Type="http://schemas.openxmlformats.org/officeDocument/2006/relationships/ctrlProp" Target="../ctrlProps/ctrlProp108.xml"/><Relationship Id="rId159" Type="http://schemas.openxmlformats.org/officeDocument/2006/relationships/ctrlProp" Target="../ctrlProps/ctrlProp204.xml"/><Relationship Id="rId324" Type="http://schemas.openxmlformats.org/officeDocument/2006/relationships/ctrlProp" Target="../ctrlProps/ctrlProp369.xml"/><Relationship Id="rId366" Type="http://schemas.openxmlformats.org/officeDocument/2006/relationships/ctrlProp" Target="../ctrlProps/ctrlProp411.xml"/><Relationship Id="rId170" Type="http://schemas.openxmlformats.org/officeDocument/2006/relationships/ctrlProp" Target="../ctrlProps/ctrlProp215.xml"/><Relationship Id="rId226" Type="http://schemas.openxmlformats.org/officeDocument/2006/relationships/ctrlProp" Target="../ctrlProps/ctrlProp271.xml"/><Relationship Id="rId268" Type="http://schemas.openxmlformats.org/officeDocument/2006/relationships/ctrlProp" Target="../ctrlProps/ctrlProp313.xml"/><Relationship Id="rId32" Type="http://schemas.openxmlformats.org/officeDocument/2006/relationships/ctrlProp" Target="../ctrlProps/ctrlProp77.xml"/><Relationship Id="rId74" Type="http://schemas.openxmlformats.org/officeDocument/2006/relationships/ctrlProp" Target="../ctrlProps/ctrlProp119.xml"/><Relationship Id="rId128" Type="http://schemas.openxmlformats.org/officeDocument/2006/relationships/ctrlProp" Target="../ctrlProps/ctrlProp173.xml"/><Relationship Id="rId335" Type="http://schemas.openxmlformats.org/officeDocument/2006/relationships/ctrlProp" Target="../ctrlProps/ctrlProp380.xml"/><Relationship Id="rId377" Type="http://schemas.openxmlformats.org/officeDocument/2006/relationships/ctrlProp" Target="../ctrlProps/ctrlProp422.xml"/><Relationship Id="rId5" Type="http://schemas.openxmlformats.org/officeDocument/2006/relationships/ctrlProp" Target="../ctrlProps/ctrlProp50.xml"/><Relationship Id="rId181" Type="http://schemas.openxmlformats.org/officeDocument/2006/relationships/ctrlProp" Target="../ctrlProps/ctrlProp226.xml"/><Relationship Id="rId237" Type="http://schemas.openxmlformats.org/officeDocument/2006/relationships/ctrlProp" Target="../ctrlProps/ctrlProp282.xml"/><Relationship Id="rId402" Type="http://schemas.openxmlformats.org/officeDocument/2006/relationships/ctrlProp" Target="../ctrlProps/ctrlProp447.xml"/><Relationship Id="rId279" Type="http://schemas.openxmlformats.org/officeDocument/2006/relationships/ctrlProp" Target="../ctrlProps/ctrlProp324.xml"/><Relationship Id="rId43" Type="http://schemas.openxmlformats.org/officeDocument/2006/relationships/ctrlProp" Target="../ctrlProps/ctrlProp88.xml"/><Relationship Id="rId139" Type="http://schemas.openxmlformats.org/officeDocument/2006/relationships/ctrlProp" Target="../ctrlProps/ctrlProp184.xml"/><Relationship Id="rId290" Type="http://schemas.openxmlformats.org/officeDocument/2006/relationships/ctrlProp" Target="../ctrlProps/ctrlProp335.xml"/><Relationship Id="rId304" Type="http://schemas.openxmlformats.org/officeDocument/2006/relationships/ctrlProp" Target="../ctrlProps/ctrlProp349.xml"/><Relationship Id="rId346" Type="http://schemas.openxmlformats.org/officeDocument/2006/relationships/ctrlProp" Target="../ctrlProps/ctrlProp391.xml"/><Relationship Id="rId388" Type="http://schemas.openxmlformats.org/officeDocument/2006/relationships/ctrlProp" Target="../ctrlProps/ctrlProp433.xml"/><Relationship Id="rId85" Type="http://schemas.openxmlformats.org/officeDocument/2006/relationships/ctrlProp" Target="../ctrlProps/ctrlProp130.xml"/><Relationship Id="rId150" Type="http://schemas.openxmlformats.org/officeDocument/2006/relationships/ctrlProp" Target="../ctrlProps/ctrlProp195.xml"/><Relationship Id="rId192" Type="http://schemas.openxmlformats.org/officeDocument/2006/relationships/ctrlProp" Target="../ctrlProps/ctrlProp237.xml"/><Relationship Id="rId206" Type="http://schemas.openxmlformats.org/officeDocument/2006/relationships/ctrlProp" Target="../ctrlProps/ctrlProp251.xml"/><Relationship Id="rId413" Type="http://schemas.microsoft.com/office/2017/10/relationships/threadedComment" Target="../threadedComments/threadedComment2.xml"/><Relationship Id="rId248" Type="http://schemas.openxmlformats.org/officeDocument/2006/relationships/ctrlProp" Target="../ctrlProps/ctrlProp293.xml"/><Relationship Id="rId12" Type="http://schemas.openxmlformats.org/officeDocument/2006/relationships/ctrlProp" Target="../ctrlProps/ctrlProp57.xml"/><Relationship Id="rId108" Type="http://schemas.openxmlformats.org/officeDocument/2006/relationships/ctrlProp" Target="../ctrlProps/ctrlProp153.xml"/><Relationship Id="rId315" Type="http://schemas.openxmlformats.org/officeDocument/2006/relationships/ctrlProp" Target="../ctrlProps/ctrlProp360.xml"/><Relationship Id="rId357" Type="http://schemas.openxmlformats.org/officeDocument/2006/relationships/ctrlProp" Target="../ctrlProps/ctrlProp402.xml"/><Relationship Id="rId54" Type="http://schemas.openxmlformats.org/officeDocument/2006/relationships/ctrlProp" Target="../ctrlProps/ctrlProp99.xml"/><Relationship Id="rId96" Type="http://schemas.openxmlformats.org/officeDocument/2006/relationships/ctrlProp" Target="../ctrlProps/ctrlProp141.xml"/><Relationship Id="rId161" Type="http://schemas.openxmlformats.org/officeDocument/2006/relationships/ctrlProp" Target="../ctrlProps/ctrlProp206.xml"/><Relationship Id="rId217" Type="http://schemas.openxmlformats.org/officeDocument/2006/relationships/ctrlProp" Target="../ctrlProps/ctrlProp262.xml"/><Relationship Id="rId399" Type="http://schemas.openxmlformats.org/officeDocument/2006/relationships/ctrlProp" Target="../ctrlProps/ctrlProp444.xml"/><Relationship Id="rId259" Type="http://schemas.openxmlformats.org/officeDocument/2006/relationships/ctrlProp" Target="../ctrlProps/ctrlProp304.xml"/><Relationship Id="rId23" Type="http://schemas.openxmlformats.org/officeDocument/2006/relationships/ctrlProp" Target="../ctrlProps/ctrlProp68.xml"/><Relationship Id="rId119" Type="http://schemas.openxmlformats.org/officeDocument/2006/relationships/ctrlProp" Target="../ctrlProps/ctrlProp164.xml"/><Relationship Id="rId270" Type="http://schemas.openxmlformats.org/officeDocument/2006/relationships/ctrlProp" Target="../ctrlProps/ctrlProp315.xml"/><Relationship Id="rId326" Type="http://schemas.openxmlformats.org/officeDocument/2006/relationships/ctrlProp" Target="../ctrlProps/ctrlProp371.xml"/><Relationship Id="rId65" Type="http://schemas.openxmlformats.org/officeDocument/2006/relationships/ctrlProp" Target="../ctrlProps/ctrlProp110.xml"/><Relationship Id="rId130" Type="http://schemas.openxmlformats.org/officeDocument/2006/relationships/ctrlProp" Target="../ctrlProps/ctrlProp175.xml"/><Relationship Id="rId368" Type="http://schemas.openxmlformats.org/officeDocument/2006/relationships/ctrlProp" Target="../ctrlProps/ctrlProp413.xml"/><Relationship Id="rId172" Type="http://schemas.openxmlformats.org/officeDocument/2006/relationships/ctrlProp" Target="../ctrlProps/ctrlProp217.xml"/><Relationship Id="rId228" Type="http://schemas.openxmlformats.org/officeDocument/2006/relationships/ctrlProp" Target="../ctrlProps/ctrlProp273.xml"/><Relationship Id="rId281" Type="http://schemas.openxmlformats.org/officeDocument/2006/relationships/ctrlProp" Target="../ctrlProps/ctrlProp326.xml"/><Relationship Id="rId337" Type="http://schemas.openxmlformats.org/officeDocument/2006/relationships/ctrlProp" Target="../ctrlProps/ctrlProp382.xml"/><Relationship Id="rId34" Type="http://schemas.openxmlformats.org/officeDocument/2006/relationships/ctrlProp" Target="../ctrlProps/ctrlProp79.xml"/><Relationship Id="rId76" Type="http://schemas.openxmlformats.org/officeDocument/2006/relationships/ctrlProp" Target="../ctrlProps/ctrlProp121.xml"/><Relationship Id="rId141" Type="http://schemas.openxmlformats.org/officeDocument/2006/relationships/ctrlProp" Target="../ctrlProps/ctrlProp186.xml"/><Relationship Id="rId379" Type="http://schemas.openxmlformats.org/officeDocument/2006/relationships/ctrlProp" Target="../ctrlProps/ctrlProp424.xml"/><Relationship Id="rId7" Type="http://schemas.openxmlformats.org/officeDocument/2006/relationships/ctrlProp" Target="../ctrlProps/ctrlProp52.xml"/><Relationship Id="rId183" Type="http://schemas.openxmlformats.org/officeDocument/2006/relationships/ctrlProp" Target="../ctrlProps/ctrlProp228.xml"/><Relationship Id="rId239" Type="http://schemas.openxmlformats.org/officeDocument/2006/relationships/ctrlProp" Target="../ctrlProps/ctrlProp284.xml"/><Relationship Id="rId390" Type="http://schemas.openxmlformats.org/officeDocument/2006/relationships/ctrlProp" Target="../ctrlProps/ctrlProp435.xml"/><Relationship Id="rId404" Type="http://schemas.openxmlformats.org/officeDocument/2006/relationships/ctrlProp" Target="../ctrlProps/ctrlProp449.xml"/><Relationship Id="rId250" Type="http://schemas.openxmlformats.org/officeDocument/2006/relationships/ctrlProp" Target="../ctrlProps/ctrlProp295.xml"/><Relationship Id="rId292" Type="http://schemas.openxmlformats.org/officeDocument/2006/relationships/ctrlProp" Target="../ctrlProps/ctrlProp337.xml"/><Relationship Id="rId306" Type="http://schemas.openxmlformats.org/officeDocument/2006/relationships/ctrlProp" Target="../ctrlProps/ctrlProp351.xml"/><Relationship Id="rId45" Type="http://schemas.openxmlformats.org/officeDocument/2006/relationships/ctrlProp" Target="../ctrlProps/ctrlProp90.xml"/><Relationship Id="rId87" Type="http://schemas.openxmlformats.org/officeDocument/2006/relationships/ctrlProp" Target="../ctrlProps/ctrlProp132.xml"/><Relationship Id="rId110" Type="http://schemas.openxmlformats.org/officeDocument/2006/relationships/ctrlProp" Target="../ctrlProps/ctrlProp155.xml"/><Relationship Id="rId348" Type="http://schemas.openxmlformats.org/officeDocument/2006/relationships/ctrlProp" Target="../ctrlProps/ctrlProp393.xml"/><Relationship Id="rId152" Type="http://schemas.openxmlformats.org/officeDocument/2006/relationships/ctrlProp" Target="../ctrlProps/ctrlProp197.xml"/><Relationship Id="rId194" Type="http://schemas.openxmlformats.org/officeDocument/2006/relationships/ctrlProp" Target="../ctrlProps/ctrlProp239.xml"/><Relationship Id="rId208" Type="http://schemas.openxmlformats.org/officeDocument/2006/relationships/ctrlProp" Target="../ctrlProps/ctrlProp253.xml"/><Relationship Id="rId261" Type="http://schemas.openxmlformats.org/officeDocument/2006/relationships/ctrlProp" Target="../ctrlProps/ctrlProp306.xml"/><Relationship Id="rId14" Type="http://schemas.openxmlformats.org/officeDocument/2006/relationships/ctrlProp" Target="../ctrlProps/ctrlProp59.xml"/><Relationship Id="rId56" Type="http://schemas.openxmlformats.org/officeDocument/2006/relationships/ctrlProp" Target="../ctrlProps/ctrlProp101.xml"/><Relationship Id="rId317" Type="http://schemas.openxmlformats.org/officeDocument/2006/relationships/ctrlProp" Target="../ctrlProps/ctrlProp362.xml"/><Relationship Id="rId359" Type="http://schemas.openxmlformats.org/officeDocument/2006/relationships/ctrlProp" Target="../ctrlProps/ctrlProp404.xml"/><Relationship Id="rId98" Type="http://schemas.openxmlformats.org/officeDocument/2006/relationships/ctrlProp" Target="../ctrlProps/ctrlProp143.xml"/><Relationship Id="rId121" Type="http://schemas.openxmlformats.org/officeDocument/2006/relationships/ctrlProp" Target="../ctrlProps/ctrlProp166.xml"/><Relationship Id="rId163" Type="http://schemas.openxmlformats.org/officeDocument/2006/relationships/ctrlProp" Target="../ctrlProps/ctrlProp208.xml"/><Relationship Id="rId219" Type="http://schemas.openxmlformats.org/officeDocument/2006/relationships/ctrlProp" Target="../ctrlProps/ctrlProp264.xml"/><Relationship Id="rId370" Type="http://schemas.openxmlformats.org/officeDocument/2006/relationships/ctrlProp" Target="../ctrlProps/ctrlProp415.xml"/><Relationship Id="rId230" Type="http://schemas.openxmlformats.org/officeDocument/2006/relationships/ctrlProp" Target="../ctrlProps/ctrlProp275.xml"/><Relationship Id="rId25" Type="http://schemas.openxmlformats.org/officeDocument/2006/relationships/ctrlProp" Target="../ctrlProps/ctrlProp70.xml"/><Relationship Id="rId67" Type="http://schemas.openxmlformats.org/officeDocument/2006/relationships/ctrlProp" Target="../ctrlProps/ctrlProp112.xml"/><Relationship Id="rId272" Type="http://schemas.openxmlformats.org/officeDocument/2006/relationships/ctrlProp" Target="../ctrlProps/ctrlProp317.xml"/><Relationship Id="rId328" Type="http://schemas.openxmlformats.org/officeDocument/2006/relationships/ctrlProp" Target="../ctrlProps/ctrlProp373.xml"/><Relationship Id="rId132" Type="http://schemas.openxmlformats.org/officeDocument/2006/relationships/ctrlProp" Target="../ctrlProps/ctrlProp177.xml"/><Relationship Id="rId174" Type="http://schemas.openxmlformats.org/officeDocument/2006/relationships/ctrlProp" Target="../ctrlProps/ctrlProp219.xml"/><Relationship Id="rId381" Type="http://schemas.openxmlformats.org/officeDocument/2006/relationships/ctrlProp" Target="../ctrlProps/ctrlProp426.xml"/><Relationship Id="rId241" Type="http://schemas.openxmlformats.org/officeDocument/2006/relationships/ctrlProp" Target="../ctrlProps/ctrlProp286.xml"/><Relationship Id="rId36" Type="http://schemas.openxmlformats.org/officeDocument/2006/relationships/ctrlProp" Target="../ctrlProps/ctrlProp81.xml"/><Relationship Id="rId283" Type="http://schemas.openxmlformats.org/officeDocument/2006/relationships/ctrlProp" Target="../ctrlProps/ctrlProp328.xml"/><Relationship Id="rId339" Type="http://schemas.openxmlformats.org/officeDocument/2006/relationships/ctrlProp" Target="../ctrlProps/ctrlProp384.xml"/><Relationship Id="rId78" Type="http://schemas.openxmlformats.org/officeDocument/2006/relationships/ctrlProp" Target="../ctrlProps/ctrlProp123.xml"/><Relationship Id="rId101" Type="http://schemas.openxmlformats.org/officeDocument/2006/relationships/ctrlProp" Target="../ctrlProps/ctrlProp146.xml"/><Relationship Id="rId143" Type="http://schemas.openxmlformats.org/officeDocument/2006/relationships/ctrlProp" Target="../ctrlProps/ctrlProp188.xml"/><Relationship Id="rId185" Type="http://schemas.openxmlformats.org/officeDocument/2006/relationships/ctrlProp" Target="../ctrlProps/ctrlProp230.xml"/><Relationship Id="rId350" Type="http://schemas.openxmlformats.org/officeDocument/2006/relationships/ctrlProp" Target="../ctrlProps/ctrlProp395.xml"/><Relationship Id="rId406" Type="http://schemas.openxmlformats.org/officeDocument/2006/relationships/ctrlProp" Target="../ctrlProps/ctrlProp451.xml"/><Relationship Id="rId9" Type="http://schemas.openxmlformats.org/officeDocument/2006/relationships/ctrlProp" Target="../ctrlProps/ctrlProp54.xml"/><Relationship Id="rId210" Type="http://schemas.openxmlformats.org/officeDocument/2006/relationships/ctrlProp" Target="../ctrlProps/ctrlProp255.xml"/><Relationship Id="rId392" Type="http://schemas.openxmlformats.org/officeDocument/2006/relationships/ctrlProp" Target="../ctrlProps/ctrlProp437.xml"/><Relationship Id="rId252" Type="http://schemas.openxmlformats.org/officeDocument/2006/relationships/ctrlProp" Target="../ctrlProps/ctrlProp297.xml"/><Relationship Id="rId294" Type="http://schemas.openxmlformats.org/officeDocument/2006/relationships/ctrlProp" Target="../ctrlProps/ctrlProp339.xml"/><Relationship Id="rId308" Type="http://schemas.openxmlformats.org/officeDocument/2006/relationships/ctrlProp" Target="../ctrlProps/ctrlProp353.xml"/><Relationship Id="rId47" Type="http://schemas.openxmlformats.org/officeDocument/2006/relationships/ctrlProp" Target="../ctrlProps/ctrlProp92.xml"/><Relationship Id="rId89" Type="http://schemas.openxmlformats.org/officeDocument/2006/relationships/ctrlProp" Target="../ctrlProps/ctrlProp134.xml"/><Relationship Id="rId112" Type="http://schemas.openxmlformats.org/officeDocument/2006/relationships/ctrlProp" Target="../ctrlProps/ctrlProp157.xml"/><Relationship Id="rId154" Type="http://schemas.openxmlformats.org/officeDocument/2006/relationships/ctrlProp" Target="../ctrlProps/ctrlProp199.xml"/><Relationship Id="rId361" Type="http://schemas.openxmlformats.org/officeDocument/2006/relationships/ctrlProp" Target="../ctrlProps/ctrlProp406.xml"/><Relationship Id="rId196" Type="http://schemas.openxmlformats.org/officeDocument/2006/relationships/ctrlProp" Target="../ctrlProps/ctrlProp241.xml"/><Relationship Id="rId16" Type="http://schemas.openxmlformats.org/officeDocument/2006/relationships/ctrlProp" Target="../ctrlProps/ctrlProp61.xml"/><Relationship Id="rId221" Type="http://schemas.openxmlformats.org/officeDocument/2006/relationships/ctrlProp" Target="../ctrlProps/ctrlProp266.xml"/><Relationship Id="rId263" Type="http://schemas.openxmlformats.org/officeDocument/2006/relationships/ctrlProp" Target="../ctrlProps/ctrlProp308.xml"/><Relationship Id="rId319" Type="http://schemas.openxmlformats.org/officeDocument/2006/relationships/ctrlProp" Target="../ctrlProps/ctrlProp364.xml"/><Relationship Id="rId58" Type="http://schemas.openxmlformats.org/officeDocument/2006/relationships/ctrlProp" Target="../ctrlProps/ctrlProp103.xml"/><Relationship Id="rId123" Type="http://schemas.openxmlformats.org/officeDocument/2006/relationships/ctrlProp" Target="../ctrlProps/ctrlProp168.xml"/><Relationship Id="rId330" Type="http://schemas.openxmlformats.org/officeDocument/2006/relationships/ctrlProp" Target="../ctrlProps/ctrlProp375.xml"/><Relationship Id="rId165" Type="http://schemas.openxmlformats.org/officeDocument/2006/relationships/ctrlProp" Target="../ctrlProps/ctrlProp210.xml"/><Relationship Id="rId372" Type="http://schemas.openxmlformats.org/officeDocument/2006/relationships/ctrlProp" Target="../ctrlProps/ctrlProp417.xml"/><Relationship Id="rId232" Type="http://schemas.openxmlformats.org/officeDocument/2006/relationships/ctrlProp" Target="../ctrlProps/ctrlProp277.xml"/><Relationship Id="rId274" Type="http://schemas.openxmlformats.org/officeDocument/2006/relationships/ctrlProp" Target="../ctrlProps/ctrlProp319.xml"/><Relationship Id="rId27" Type="http://schemas.openxmlformats.org/officeDocument/2006/relationships/ctrlProp" Target="../ctrlProps/ctrlProp72.xml"/><Relationship Id="rId69" Type="http://schemas.openxmlformats.org/officeDocument/2006/relationships/ctrlProp" Target="../ctrlProps/ctrlProp114.xml"/><Relationship Id="rId134" Type="http://schemas.openxmlformats.org/officeDocument/2006/relationships/ctrlProp" Target="../ctrlProps/ctrlProp179.xml"/><Relationship Id="rId80" Type="http://schemas.openxmlformats.org/officeDocument/2006/relationships/ctrlProp" Target="../ctrlProps/ctrlProp125.xml"/><Relationship Id="rId155" Type="http://schemas.openxmlformats.org/officeDocument/2006/relationships/ctrlProp" Target="../ctrlProps/ctrlProp200.xml"/><Relationship Id="rId176" Type="http://schemas.openxmlformats.org/officeDocument/2006/relationships/ctrlProp" Target="../ctrlProps/ctrlProp221.xml"/><Relationship Id="rId197" Type="http://schemas.openxmlformats.org/officeDocument/2006/relationships/ctrlProp" Target="../ctrlProps/ctrlProp242.xml"/><Relationship Id="rId341" Type="http://schemas.openxmlformats.org/officeDocument/2006/relationships/ctrlProp" Target="../ctrlProps/ctrlProp386.xml"/><Relationship Id="rId362" Type="http://schemas.openxmlformats.org/officeDocument/2006/relationships/ctrlProp" Target="../ctrlProps/ctrlProp407.xml"/><Relationship Id="rId383" Type="http://schemas.openxmlformats.org/officeDocument/2006/relationships/ctrlProp" Target="../ctrlProps/ctrlProp428.xml"/><Relationship Id="rId201" Type="http://schemas.openxmlformats.org/officeDocument/2006/relationships/ctrlProp" Target="../ctrlProps/ctrlProp246.xml"/><Relationship Id="rId222" Type="http://schemas.openxmlformats.org/officeDocument/2006/relationships/ctrlProp" Target="../ctrlProps/ctrlProp267.xml"/><Relationship Id="rId243" Type="http://schemas.openxmlformats.org/officeDocument/2006/relationships/ctrlProp" Target="../ctrlProps/ctrlProp288.xml"/><Relationship Id="rId264" Type="http://schemas.openxmlformats.org/officeDocument/2006/relationships/ctrlProp" Target="../ctrlProps/ctrlProp309.xml"/><Relationship Id="rId285" Type="http://schemas.openxmlformats.org/officeDocument/2006/relationships/ctrlProp" Target="../ctrlProps/ctrlProp330.xml"/><Relationship Id="rId17" Type="http://schemas.openxmlformats.org/officeDocument/2006/relationships/ctrlProp" Target="../ctrlProps/ctrlProp62.xml"/><Relationship Id="rId38" Type="http://schemas.openxmlformats.org/officeDocument/2006/relationships/ctrlProp" Target="../ctrlProps/ctrlProp83.xml"/><Relationship Id="rId59" Type="http://schemas.openxmlformats.org/officeDocument/2006/relationships/ctrlProp" Target="../ctrlProps/ctrlProp104.xml"/><Relationship Id="rId103" Type="http://schemas.openxmlformats.org/officeDocument/2006/relationships/ctrlProp" Target="../ctrlProps/ctrlProp148.xml"/><Relationship Id="rId124" Type="http://schemas.openxmlformats.org/officeDocument/2006/relationships/ctrlProp" Target="../ctrlProps/ctrlProp169.xml"/><Relationship Id="rId310" Type="http://schemas.openxmlformats.org/officeDocument/2006/relationships/ctrlProp" Target="../ctrlProps/ctrlProp355.xml"/><Relationship Id="rId70" Type="http://schemas.openxmlformats.org/officeDocument/2006/relationships/ctrlProp" Target="../ctrlProps/ctrlProp115.xml"/><Relationship Id="rId91" Type="http://schemas.openxmlformats.org/officeDocument/2006/relationships/ctrlProp" Target="../ctrlProps/ctrlProp136.xml"/><Relationship Id="rId145" Type="http://schemas.openxmlformats.org/officeDocument/2006/relationships/ctrlProp" Target="../ctrlProps/ctrlProp190.xml"/><Relationship Id="rId166" Type="http://schemas.openxmlformats.org/officeDocument/2006/relationships/ctrlProp" Target="../ctrlProps/ctrlProp211.xml"/><Relationship Id="rId187" Type="http://schemas.openxmlformats.org/officeDocument/2006/relationships/ctrlProp" Target="../ctrlProps/ctrlProp232.xml"/><Relationship Id="rId331" Type="http://schemas.openxmlformats.org/officeDocument/2006/relationships/ctrlProp" Target="../ctrlProps/ctrlProp376.xml"/><Relationship Id="rId352" Type="http://schemas.openxmlformats.org/officeDocument/2006/relationships/ctrlProp" Target="../ctrlProps/ctrlProp397.xml"/><Relationship Id="rId373" Type="http://schemas.openxmlformats.org/officeDocument/2006/relationships/ctrlProp" Target="../ctrlProps/ctrlProp418.xml"/><Relationship Id="rId394" Type="http://schemas.openxmlformats.org/officeDocument/2006/relationships/ctrlProp" Target="../ctrlProps/ctrlProp439.xml"/><Relationship Id="rId408" Type="http://schemas.openxmlformats.org/officeDocument/2006/relationships/ctrlProp" Target="../ctrlProps/ctrlProp453.xml"/><Relationship Id="rId1" Type="http://schemas.openxmlformats.org/officeDocument/2006/relationships/printerSettings" Target="../printerSettings/printerSettings2.bin"/><Relationship Id="rId212" Type="http://schemas.openxmlformats.org/officeDocument/2006/relationships/ctrlProp" Target="../ctrlProps/ctrlProp257.xml"/><Relationship Id="rId233" Type="http://schemas.openxmlformats.org/officeDocument/2006/relationships/ctrlProp" Target="../ctrlProps/ctrlProp278.xml"/><Relationship Id="rId254" Type="http://schemas.openxmlformats.org/officeDocument/2006/relationships/ctrlProp" Target="../ctrlProps/ctrlProp299.xml"/><Relationship Id="rId28" Type="http://schemas.openxmlformats.org/officeDocument/2006/relationships/ctrlProp" Target="../ctrlProps/ctrlProp73.xml"/><Relationship Id="rId49" Type="http://schemas.openxmlformats.org/officeDocument/2006/relationships/ctrlProp" Target="../ctrlProps/ctrlProp94.xml"/><Relationship Id="rId114" Type="http://schemas.openxmlformats.org/officeDocument/2006/relationships/ctrlProp" Target="../ctrlProps/ctrlProp159.xml"/><Relationship Id="rId275" Type="http://schemas.openxmlformats.org/officeDocument/2006/relationships/ctrlProp" Target="../ctrlProps/ctrlProp320.xml"/><Relationship Id="rId296" Type="http://schemas.openxmlformats.org/officeDocument/2006/relationships/ctrlProp" Target="../ctrlProps/ctrlProp341.xml"/><Relationship Id="rId300" Type="http://schemas.openxmlformats.org/officeDocument/2006/relationships/ctrlProp" Target="../ctrlProps/ctrlProp345.xml"/><Relationship Id="rId60" Type="http://schemas.openxmlformats.org/officeDocument/2006/relationships/ctrlProp" Target="../ctrlProps/ctrlProp105.xml"/><Relationship Id="rId81" Type="http://schemas.openxmlformats.org/officeDocument/2006/relationships/ctrlProp" Target="../ctrlProps/ctrlProp126.xml"/><Relationship Id="rId135" Type="http://schemas.openxmlformats.org/officeDocument/2006/relationships/ctrlProp" Target="../ctrlProps/ctrlProp180.xml"/><Relationship Id="rId156" Type="http://schemas.openxmlformats.org/officeDocument/2006/relationships/ctrlProp" Target="../ctrlProps/ctrlProp201.xml"/><Relationship Id="rId177" Type="http://schemas.openxmlformats.org/officeDocument/2006/relationships/ctrlProp" Target="../ctrlProps/ctrlProp222.xml"/><Relationship Id="rId198" Type="http://schemas.openxmlformats.org/officeDocument/2006/relationships/ctrlProp" Target="../ctrlProps/ctrlProp243.xml"/><Relationship Id="rId321" Type="http://schemas.openxmlformats.org/officeDocument/2006/relationships/ctrlProp" Target="../ctrlProps/ctrlProp366.xml"/><Relationship Id="rId342" Type="http://schemas.openxmlformats.org/officeDocument/2006/relationships/ctrlProp" Target="../ctrlProps/ctrlProp387.xml"/><Relationship Id="rId363" Type="http://schemas.openxmlformats.org/officeDocument/2006/relationships/ctrlProp" Target="../ctrlProps/ctrlProp408.xml"/><Relationship Id="rId384" Type="http://schemas.openxmlformats.org/officeDocument/2006/relationships/ctrlProp" Target="../ctrlProps/ctrlProp429.xml"/><Relationship Id="rId202" Type="http://schemas.openxmlformats.org/officeDocument/2006/relationships/ctrlProp" Target="../ctrlProps/ctrlProp247.xml"/><Relationship Id="rId223" Type="http://schemas.openxmlformats.org/officeDocument/2006/relationships/ctrlProp" Target="../ctrlProps/ctrlProp268.xml"/><Relationship Id="rId244" Type="http://schemas.openxmlformats.org/officeDocument/2006/relationships/ctrlProp" Target="../ctrlProps/ctrlProp289.xml"/><Relationship Id="rId18" Type="http://schemas.openxmlformats.org/officeDocument/2006/relationships/ctrlProp" Target="../ctrlProps/ctrlProp63.xml"/><Relationship Id="rId39" Type="http://schemas.openxmlformats.org/officeDocument/2006/relationships/ctrlProp" Target="../ctrlProps/ctrlProp84.xml"/><Relationship Id="rId265" Type="http://schemas.openxmlformats.org/officeDocument/2006/relationships/ctrlProp" Target="../ctrlProps/ctrlProp310.xml"/><Relationship Id="rId286" Type="http://schemas.openxmlformats.org/officeDocument/2006/relationships/ctrlProp" Target="../ctrlProps/ctrlProp331.xml"/><Relationship Id="rId50" Type="http://schemas.openxmlformats.org/officeDocument/2006/relationships/ctrlProp" Target="../ctrlProps/ctrlProp95.xml"/><Relationship Id="rId104" Type="http://schemas.openxmlformats.org/officeDocument/2006/relationships/ctrlProp" Target="../ctrlProps/ctrlProp149.xml"/><Relationship Id="rId125" Type="http://schemas.openxmlformats.org/officeDocument/2006/relationships/ctrlProp" Target="../ctrlProps/ctrlProp170.xml"/><Relationship Id="rId146" Type="http://schemas.openxmlformats.org/officeDocument/2006/relationships/ctrlProp" Target="../ctrlProps/ctrlProp191.xml"/><Relationship Id="rId167" Type="http://schemas.openxmlformats.org/officeDocument/2006/relationships/ctrlProp" Target="../ctrlProps/ctrlProp212.xml"/><Relationship Id="rId188" Type="http://schemas.openxmlformats.org/officeDocument/2006/relationships/ctrlProp" Target="../ctrlProps/ctrlProp233.xml"/><Relationship Id="rId311" Type="http://schemas.openxmlformats.org/officeDocument/2006/relationships/ctrlProp" Target="../ctrlProps/ctrlProp356.xml"/><Relationship Id="rId332" Type="http://schemas.openxmlformats.org/officeDocument/2006/relationships/ctrlProp" Target="../ctrlProps/ctrlProp377.xml"/><Relationship Id="rId353" Type="http://schemas.openxmlformats.org/officeDocument/2006/relationships/ctrlProp" Target="../ctrlProps/ctrlProp398.xml"/><Relationship Id="rId374" Type="http://schemas.openxmlformats.org/officeDocument/2006/relationships/ctrlProp" Target="../ctrlProps/ctrlProp419.xml"/><Relationship Id="rId395" Type="http://schemas.openxmlformats.org/officeDocument/2006/relationships/ctrlProp" Target="../ctrlProps/ctrlProp440.xml"/><Relationship Id="rId409" Type="http://schemas.openxmlformats.org/officeDocument/2006/relationships/ctrlProp" Target="../ctrlProps/ctrlProp454.xml"/><Relationship Id="rId71" Type="http://schemas.openxmlformats.org/officeDocument/2006/relationships/ctrlProp" Target="../ctrlProps/ctrlProp116.xml"/><Relationship Id="rId92" Type="http://schemas.openxmlformats.org/officeDocument/2006/relationships/ctrlProp" Target="../ctrlProps/ctrlProp137.xml"/><Relationship Id="rId213" Type="http://schemas.openxmlformats.org/officeDocument/2006/relationships/ctrlProp" Target="../ctrlProps/ctrlProp258.xml"/><Relationship Id="rId234" Type="http://schemas.openxmlformats.org/officeDocument/2006/relationships/ctrlProp" Target="../ctrlProps/ctrlProp279.xml"/><Relationship Id="rId2" Type="http://schemas.openxmlformats.org/officeDocument/2006/relationships/drawing" Target="../drawings/drawing3.xml"/><Relationship Id="rId29" Type="http://schemas.openxmlformats.org/officeDocument/2006/relationships/ctrlProp" Target="../ctrlProps/ctrlProp74.xml"/><Relationship Id="rId255" Type="http://schemas.openxmlformats.org/officeDocument/2006/relationships/ctrlProp" Target="../ctrlProps/ctrlProp300.xml"/><Relationship Id="rId276" Type="http://schemas.openxmlformats.org/officeDocument/2006/relationships/ctrlProp" Target="../ctrlProps/ctrlProp321.xml"/><Relationship Id="rId297" Type="http://schemas.openxmlformats.org/officeDocument/2006/relationships/ctrlProp" Target="../ctrlProps/ctrlProp342.xml"/><Relationship Id="rId40" Type="http://schemas.openxmlformats.org/officeDocument/2006/relationships/ctrlProp" Target="../ctrlProps/ctrlProp85.xml"/><Relationship Id="rId115" Type="http://schemas.openxmlformats.org/officeDocument/2006/relationships/ctrlProp" Target="../ctrlProps/ctrlProp160.xml"/><Relationship Id="rId136" Type="http://schemas.openxmlformats.org/officeDocument/2006/relationships/ctrlProp" Target="../ctrlProps/ctrlProp181.xml"/><Relationship Id="rId157" Type="http://schemas.openxmlformats.org/officeDocument/2006/relationships/ctrlProp" Target="../ctrlProps/ctrlProp202.xml"/><Relationship Id="rId178" Type="http://schemas.openxmlformats.org/officeDocument/2006/relationships/ctrlProp" Target="../ctrlProps/ctrlProp223.xml"/><Relationship Id="rId301" Type="http://schemas.openxmlformats.org/officeDocument/2006/relationships/ctrlProp" Target="../ctrlProps/ctrlProp346.xml"/><Relationship Id="rId322" Type="http://schemas.openxmlformats.org/officeDocument/2006/relationships/ctrlProp" Target="../ctrlProps/ctrlProp367.xml"/><Relationship Id="rId343" Type="http://schemas.openxmlformats.org/officeDocument/2006/relationships/ctrlProp" Target="../ctrlProps/ctrlProp388.xml"/><Relationship Id="rId364" Type="http://schemas.openxmlformats.org/officeDocument/2006/relationships/ctrlProp" Target="../ctrlProps/ctrlProp409.xml"/><Relationship Id="rId61" Type="http://schemas.openxmlformats.org/officeDocument/2006/relationships/ctrlProp" Target="../ctrlProps/ctrlProp106.xml"/><Relationship Id="rId82" Type="http://schemas.openxmlformats.org/officeDocument/2006/relationships/ctrlProp" Target="../ctrlProps/ctrlProp127.xml"/><Relationship Id="rId199" Type="http://schemas.openxmlformats.org/officeDocument/2006/relationships/ctrlProp" Target="../ctrlProps/ctrlProp244.xml"/><Relationship Id="rId203" Type="http://schemas.openxmlformats.org/officeDocument/2006/relationships/ctrlProp" Target="../ctrlProps/ctrlProp248.xml"/><Relationship Id="rId385" Type="http://schemas.openxmlformats.org/officeDocument/2006/relationships/ctrlProp" Target="../ctrlProps/ctrlProp430.xml"/><Relationship Id="rId19" Type="http://schemas.openxmlformats.org/officeDocument/2006/relationships/ctrlProp" Target="../ctrlProps/ctrlProp64.xml"/><Relationship Id="rId224" Type="http://schemas.openxmlformats.org/officeDocument/2006/relationships/ctrlProp" Target="../ctrlProps/ctrlProp269.xml"/><Relationship Id="rId245" Type="http://schemas.openxmlformats.org/officeDocument/2006/relationships/ctrlProp" Target="../ctrlProps/ctrlProp290.xml"/><Relationship Id="rId266" Type="http://schemas.openxmlformats.org/officeDocument/2006/relationships/ctrlProp" Target="../ctrlProps/ctrlProp311.xml"/><Relationship Id="rId287" Type="http://schemas.openxmlformats.org/officeDocument/2006/relationships/ctrlProp" Target="../ctrlProps/ctrlProp332.xml"/><Relationship Id="rId410" Type="http://schemas.openxmlformats.org/officeDocument/2006/relationships/ctrlProp" Target="../ctrlProps/ctrlProp455.xml"/><Relationship Id="rId30" Type="http://schemas.openxmlformats.org/officeDocument/2006/relationships/ctrlProp" Target="../ctrlProps/ctrlProp75.xml"/><Relationship Id="rId105" Type="http://schemas.openxmlformats.org/officeDocument/2006/relationships/ctrlProp" Target="../ctrlProps/ctrlProp150.xml"/><Relationship Id="rId126" Type="http://schemas.openxmlformats.org/officeDocument/2006/relationships/ctrlProp" Target="../ctrlProps/ctrlProp171.xml"/><Relationship Id="rId147" Type="http://schemas.openxmlformats.org/officeDocument/2006/relationships/ctrlProp" Target="../ctrlProps/ctrlProp192.xml"/><Relationship Id="rId168" Type="http://schemas.openxmlformats.org/officeDocument/2006/relationships/ctrlProp" Target="../ctrlProps/ctrlProp213.xml"/><Relationship Id="rId312" Type="http://schemas.openxmlformats.org/officeDocument/2006/relationships/ctrlProp" Target="../ctrlProps/ctrlProp357.xml"/><Relationship Id="rId333" Type="http://schemas.openxmlformats.org/officeDocument/2006/relationships/ctrlProp" Target="../ctrlProps/ctrlProp378.xml"/><Relationship Id="rId354" Type="http://schemas.openxmlformats.org/officeDocument/2006/relationships/ctrlProp" Target="../ctrlProps/ctrlProp399.xml"/><Relationship Id="rId51" Type="http://schemas.openxmlformats.org/officeDocument/2006/relationships/ctrlProp" Target="../ctrlProps/ctrlProp96.xml"/><Relationship Id="rId72" Type="http://schemas.openxmlformats.org/officeDocument/2006/relationships/ctrlProp" Target="../ctrlProps/ctrlProp117.xml"/><Relationship Id="rId93" Type="http://schemas.openxmlformats.org/officeDocument/2006/relationships/ctrlProp" Target="../ctrlProps/ctrlProp138.xml"/><Relationship Id="rId189" Type="http://schemas.openxmlformats.org/officeDocument/2006/relationships/ctrlProp" Target="../ctrlProps/ctrlProp234.xml"/><Relationship Id="rId375" Type="http://schemas.openxmlformats.org/officeDocument/2006/relationships/ctrlProp" Target="../ctrlProps/ctrlProp420.xml"/><Relationship Id="rId396" Type="http://schemas.openxmlformats.org/officeDocument/2006/relationships/ctrlProp" Target="../ctrlProps/ctrlProp441.xml"/><Relationship Id="rId3" Type="http://schemas.openxmlformats.org/officeDocument/2006/relationships/vmlDrawing" Target="../drawings/vmlDrawing2.vml"/><Relationship Id="rId214" Type="http://schemas.openxmlformats.org/officeDocument/2006/relationships/ctrlProp" Target="../ctrlProps/ctrlProp259.xml"/><Relationship Id="rId235" Type="http://schemas.openxmlformats.org/officeDocument/2006/relationships/ctrlProp" Target="../ctrlProps/ctrlProp280.xml"/><Relationship Id="rId256" Type="http://schemas.openxmlformats.org/officeDocument/2006/relationships/ctrlProp" Target="../ctrlProps/ctrlProp301.xml"/><Relationship Id="rId277" Type="http://schemas.openxmlformats.org/officeDocument/2006/relationships/ctrlProp" Target="../ctrlProps/ctrlProp322.xml"/><Relationship Id="rId298" Type="http://schemas.openxmlformats.org/officeDocument/2006/relationships/ctrlProp" Target="../ctrlProps/ctrlProp343.xml"/><Relationship Id="rId400" Type="http://schemas.openxmlformats.org/officeDocument/2006/relationships/ctrlProp" Target="../ctrlProps/ctrlProp445.xml"/><Relationship Id="rId116" Type="http://schemas.openxmlformats.org/officeDocument/2006/relationships/ctrlProp" Target="../ctrlProps/ctrlProp161.xml"/><Relationship Id="rId137" Type="http://schemas.openxmlformats.org/officeDocument/2006/relationships/ctrlProp" Target="../ctrlProps/ctrlProp182.xml"/><Relationship Id="rId158" Type="http://schemas.openxmlformats.org/officeDocument/2006/relationships/ctrlProp" Target="../ctrlProps/ctrlProp203.xml"/><Relationship Id="rId302" Type="http://schemas.openxmlformats.org/officeDocument/2006/relationships/ctrlProp" Target="../ctrlProps/ctrlProp347.xml"/><Relationship Id="rId323" Type="http://schemas.openxmlformats.org/officeDocument/2006/relationships/ctrlProp" Target="../ctrlProps/ctrlProp368.xml"/><Relationship Id="rId344" Type="http://schemas.openxmlformats.org/officeDocument/2006/relationships/ctrlProp" Target="../ctrlProps/ctrlProp389.xml"/><Relationship Id="rId20" Type="http://schemas.openxmlformats.org/officeDocument/2006/relationships/ctrlProp" Target="../ctrlProps/ctrlProp65.xml"/><Relationship Id="rId41" Type="http://schemas.openxmlformats.org/officeDocument/2006/relationships/ctrlProp" Target="../ctrlProps/ctrlProp86.xml"/><Relationship Id="rId62" Type="http://schemas.openxmlformats.org/officeDocument/2006/relationships/ctrlProp" Target="../ctrlProps/ctrlProp107.xml"/><Relationship Id="rId83" Type="http://schemas.openxmlformats.org/officeDocument/2006/relationships/ctrlProp" Target="../ctrlProps/ctrlProp128.xml"/><Relationship Id="rId179" Type="http://schemas.openxmlformats.org/officeDocument/2006/relationships/ctrlProp" Target="../ctrlProps/ctrlProp224.xml"/><Relationship Id="rId365" Type="http://schemas.openxmlformats.org/officeDocument/2006/relationships/ctrlProp" Target="../ctrlProps/ctrlProp410.xml"/><Relationship Id="rId386" Type="http://schemas.openxmlformats.org/officeDocument/2006/relationships/ctrlProp" Target="../ctrlProps/ctrlProp431.xml"/><Relationship Id="rId190" Type="http://schemas.openxmlformats.org/officeDocument/2006/relationships/ctrlProp" Target="../ctrlProps/ctrlProp235.xml"/><Relationship Id="rId204" Type="http://schemas.openxmlformats.org/officeDocument/2006/relationships/ctrlProp" Target="../ctrlProps/ctrlProp249.xml"/><Relationship Id="rId225" Type="http://schemas.openxmlformats.org/officeDocument/2006/relationships/ctrlProp" Target="../ctrlProps/ctrlProp270.xml"/><Relationship Id="rId246" Type="http://schemas.openxmlformats.org/officeDocument/2006/relationships/ctrlProp" Target="../ctrlProps/ctrlProp291.xml"/><Relationship Id="rId267" Type="http://schemas.openxmlformats.org/officeDocument/2006/relationships/ctrlProp" Target="../ctrlProps/ctrlProp312.xml"/><Relationship Id="rId288" Type="http://schemas.openxmlformats.org/officeDocument/2006/relationships/ctrlProp" Target="../ctrlProps/ctrlProp333.xml"/><Relationship Id="rId411" Type="http://schemas.openxmlformats.org/officeDocument/2006/relationships/ctrlProp" Target="../ctrlProps/ctrlProp456.xml"/><Relationship Id="rId106" Type="http://schemas.openxmlformats.org/officeDocument/2006/relationships/ctrlProp" Target="../ctrlProps/ctrlProp151.xml"/><Relationship Id="rId127" Type="http://schemas.openxmlformats.org/officeDocument/2006/relationships/ctrlProp" Target="../ctrlProps/ctrlProp172.xml"/><Relationship Id="rId313" Type="http://schemas.openxmlformats.org/officeDocument/2006/relationships/ctrlProp" Target="../ctrlProps/ctrlProp358.xml"/><Relationship Id="rId10" Type="http://schemas.openxmlformats.org/officeDocument/2006/relationships/ctrlProp" Target="../ctrlProps/ctrlProp55.xml"/><Relationship Id="rId31" Type="http://schemas.openxmlformats.org/officeDocument/2006/relationships/ctrlProp" Target="../ctrlProps/ctrlProp76.xml"/><Relationship Id="rId52" Type="http://schemas.openxmlformats.org/officeDocument/2006/relationships/ctrlProp" Target="../ctrlProps/ctrlProp97.xml"/><Relationship Id="rId73" Type="http://schemas.openxmlformats.org/officeDocument/2006/relationships/ctrlProp" Target="../ctrlProps/ctrlProp118.xml"/><Relationship Id="rId94" Type="http://schemas.openxmlformats.org/officeDocument/2006/relationships/ctrlProp" Target="../ctrlProps/ctrlProp139.xml"/><Relationship Id="rId148" Type="http://schemas.openxmlformats.org/officeDocument/2006/relationships/ctrlProp" Target="../ctrlProps/ctrlProp193.xml"/><Relationship Id="rId169" Type="http://schemas.openxmlformats.org/officeDocument/2006/relationships/ctrlProp" Target="../ctrlProps/ctrlProp214.xml"/><Relationship Id="rId334" Type="http://schemas.openxmlformats.org/officeDocument/2006/relationships/ctrlProp" Target="../ctrlProps/ctrlProp379.xml"/><Relationship Id="rId355" Type="http://schemas.openxmlformats.org/officeDocument/2006/relationships/ctrlProp" Target="../ctrlProps/ctrlProp400.xml"/><Relationship Id="rId376" Type="http://schemas.openxmlformats.org/officeDocument/2006/relationships/ctrlProp" Target="../ctrlProps/ctrlProp421.xml"/><Relationship Id="rId397" Type="http://schemas.openxmlformats.org/officeDocument/2006/relationships/ctrlProp" Target="../ctrlProps/ctrlProp442.xml"/><Relationship Id="rId4" Type="http://schemas.openxmlformats.org/officeDocument/2006/relationships/ctrlProp" Target="../ctrlProps/ctrlProp49.xml"/><Relationship Id="rId180" Type="http://schemas.openxmlformats.org/officeDocument/2006/relationships/ctrlProp" Target="../ctrlProps/ctrlProp225.xml"/><Relationship Id="rId215" Type="http://schemas.openxmlformats.org/officeDocument/2006/relationships/ctrlProp" Target="../ctrlProps/ctrlProp260.xml"/><Relationship Id="rId236" Type="http://schemas.openxmlformats.org/officeDocument/2006/relationships/ctrlProp" Target="../ctrlProps/ctrlProp281.xml"/><Relationship Id="rId257" Type="http://schemas.openxmlformats.org/officeDocument/2006/relationships/ctrlProp" Target="../ctrlProps/ctrlProp302.xml"/><Relationship Id="rId278" Type="http://schemas.openxmlformats.org/officeDocument/2006/relationships/ctrlProp" Target="../ctrlProps/ctrlProp323.xml"/><Relationship Id="rId401" Type="http://schemas.openxmlformats.org/officeDocument/2006/relationships/ctrlProp" Target="../ctrlProps/ctrlProp446.xml"/><Relationship Id="rId303" Type="http://schemas.openxmlformats.org/officeDocument/2006/relationships/ctrlProp" Target="../ctrlProps/ctrlProp348.xml"/><Relationship Id="rId42" Type="http://schemas.openxmlformats.org/officeDocument/2006/relationships/ctrlProp" Target="../ctrlProps/ctrlProp87.xml"/><Relationship Id="rId84" Type="http://schemas.openxmlformats.org/officeDocument/2006/relationships/ctrlProp" Target="../ctrlProps/ctrlProp129.xml"/><Relationship Id="rId138" Type="http://schemas.openxmlformats.org/officeDocument/2006/relationships/ctrlProp" Target="../ctrlProps/ctrlProp183.xml"/><Relationship Id="rId345" Type="http://schemas.openxmlformats.org/officeDocument/2006/relationships/ctrlProp" Target="../ctrlProps/ctrlProp390.xml"/><Relationship Id="rId387" Type="http://schemas.openxmlformats.org/officeDocument/2006/relationships/ctrlProp" Target="../ctrlProps/ctrlProp432.xml"/><Relationship Id="rId191" Type="http://schemas.openxmlformats.org/officeDocument/2006/relationships/ctrlProp" Target="../ctrlProps/ctrlProp236.xml"/><Relationship Id="rId205" Type="http://schemas.openxmlformats.org/officeDocument/2006/relationships/ctrlProp" Target="../ctrlProps/ctrlProp250.xml"/><Relationship Id="rId247" Type="http://schemas.openxmlformats.org/officeDocument/2006/relationships/ctrlProp" Target="../ctrlProps/ctrlProp292.xml"/><Relationship Id="rId412" Type="http://schemas.openxmlformats.org/officeDocument/2006/relationships/comments" Target="../comments2.xml"/><Relationship Id="rId107" Type="http://schemas.openxmlformats.org/officeDocument/2006/relationships/ctrlProp" Target="../ctrlProps/ctrlProp152.xml"/><Relationship Id="rId289" Type="http://schemas.openxmlformats.org/officeDocument/2006/relationships/ctrlProp" Target="../ctrlProps/ctrlProp334.xml"/><Relationship Id="rId11" Type="http://schemas.openxmlformats.org/officeDocument/2006/relationships/ctrlProp" Target="../ctrlProps/ctrlProp56.xml"/><Relationship Id="rId53" Type="http://schemas.openxmlformats.org/officeDocument/2006/relationships/ctrlProp" Target="../ctrlProps/ctrlProp98.xml"/><Relationship Id="rId149" Type="http://schemas.openxmlformats.org/officeDocument/2006/relationships/ctrlProp" Target="../ctrlProps/ctrlProp194.xml"/><Relationship Id="rId314" Type="http://schemas.openxmlformats.org/officeDocument/2006/relationships/ctrlProp" Target="../ctrlProps/ctrlProp359.xml"/><Relationship Id="rId356" Type="http://schemas.openxmlformats.org/officeDocument/2006/relationships/ctrlProp" Target="../ctrlProps/ctrlProp401.xml"/><Relationship Id="rId398" Type="http://schemas.openxmlformats.org/officeDocument/2006/relationships/ctrlProp" Target="../ctrlProps/ctrlProp443.xml"/><Relationship Id="rId95" Type="http://schemas.openxmlformats.org/officeDocument/2006/relationships/ctrlProp" Target="../ctrlProps/ctrlProp140.xml"/><Relationship Id="rId160" Type="http://schemas.openxmlformats.org/officeDocument/2006/relationships/ctrlProp" Target="../ctrlProps/ctrlProp205.xml"/><Relationship Id="rId216" Type="http://schemas.openxmlformats.org/officeDocument/2006/relationships/ctrlProp" Target="../ctrlProps/ctrlProp261.xml"/><Relationship Id="rId258" Type="http://schemas.openxmlformats.org/officeDocument/2006/relationships/ctrlProp" Target="../ctrlProps/ctrlProp303.xml"/><Relationship Id="rId22" Type="http://schemas.openxmlformats.org/officeDocument/2006/relationships/ctrlProp" Target="../ctrlProps/ctrlProp67.xml"/><Relationship Id="rId64" Type="http://schemas.openxmlformats.org/officeDocument/2006/relationships/ctrlProp" Target="../ctrlProps/ctrlProp109.xml"/><Relationship Id="rId118" Type="http://schemas.openxmlformats.org/officeDocument/2006/relationships/ctrlProp" Target="../ctrlProps/ctrlProp163.xml"/><Relationship Id="rId325" Type="http://schemas.openxmlformats.org/officeDocument/2006/relationships/ctrlProp" Target="../ctrlProps/ctrlProp370.xml"/><Relationship Id="rId367" Type="http://schemas.openxmlformats.org/officeDocument/2006/relationships/ctrlProp" Target="../ctrlProps/ctrlProp412.xml"/><Relationship Id="rId171" Type="http://schemas.openxmlformats.org/officeDocument/2006/relationships/ctrlProp" Target="../ctrlProps/ctrlProp216.xml"/><Relationship Id="rId227" Type="http://schemas.openxmlformats.org/officeDocument/2006/relationships/ctrlProp" Target="../ctrlProps/ctrlProp272.xml"/><Relationship Id="rId269" Type="http://schemas.openxmlformats.org/officeDocument/2006/relationships/ctrlProp" Target="../ctrlProps/ctrlProp314.xml"/><Relationship Id="rId33" Type="http://schemas.openxmlformats.org/officeDocument/2006/relationships/ctrlProp" Target="../ctrlProps/ctrlProp78.xml"/><Relationship Id="rId129" Type="http://schemas.openxmlformats.org/officeDocument/2006/relationships/ctrlProp" Target="../ctrlProps/ctrlProp174.xml"/><Relationship Id="rId280" Type="http://schemas.openxmlformats.org/officeDocument/2006/relationships/ctrlProp" Target="../ctrlProps/ctrlProp325.xml"/><Relationship Id="rId336" Type="http://schemas.openxmlformats.org/officeDocument/2006/relationships/ctrlProp" Target="../ctrlProps/ctrlProp381.xml"/><Relationship Id="rId75" Type="http://schemas.openxmlformats.org/officeDocument/2006/relationships/ctrlProp" Target="../ctrlProps/ctrlProp120.xml"/><Relationship Id="rId140" Type="http://schemas.openxmlformats.org/officeDocument/2006/relationships/ctrlProp" Target="../ctrlProps/ctrlProp185.xml"/><Relationship Id="rId182" Type="http://schemas.openxmlformats.org/officeDocument/2006/relationships/ctrlProp" Target="../ctrlProps/ctrlProp227.xml"/><Relationship Id="rId378" Type="http://schemas.openxmlformats.org/officeDocument/2006/relationships/ctrlProp" Target="../ctrlProps/ctrlProp423.xml"/><Relationship Id="rId403" Type="http://schemas.openxmlformats.org/officeDocument/2006/relationships/ctrlProp" Target="../ctrlProps/ctrlProp448.xml"/><Relationship Id="rId6" Type="http://schemas.openxmlformats.org/officeDocument/2006/relationships/ctrlProp" Target="../ctrlProps/ctrlProp51.xml"/><Relationship Id="rId238" Type="http://schemas.openxmlformats.org/officeDocument/2006/relationships/ctrlProp" Target="../ctrlProps/ctrlProp283.xml"/><Relationship Id="rId291" Type="http://schemas.openxmlformats.org/officeDocument/2006/relationships/ctrlProp" Target="../ctrlProps/ctrlProp336.xml"/><Relationship Id="rId305" Type="http://schemas.openxmlformats.org/officeDocument/2006/relationships/ctrlProp" Target="../ctrlProps/ctrlProp350.xml"/><Relationship Id="rId347" Type="http://schemas.openxmlformats.org/officeDocument/2006/relationships/ctrlProp" Target="../ctrlProps/ctrlProp392.xml"/><Relationship Id="rId44" Type="http://schemas.openxmlformats.org/officeDocument/2006/relationships/ctrlProp" Target="../ctrlProps/ctrlProp89.xml"/><Relationship Id="rId86" Type="http://schemas.openxmlformats.org/officeDocument/2006/relationships/ctrlProp" Target="../ctrlProps/ctrlProp131.xml"/><Relationship Id="rId151" Type="http://schemas.openxmlformats.org/officeDocument/2006/relationships/ctrlProp" Target="../ctrlProps/ctrlProp196.xml"/><Relationship Id="rId389" Type="http://schemas.openxmlformats.org/officeDocument/2006/relationships/ctrlProp" Target="../ctrlProps/ctrlProp434.xml"/><Relationship Id="rId193" Type="http://schemas.openxmlformats.org/officeDocument/2006/relationships/ctrlProp" Target="../ctrlProps/ctrlProp238.xml"/><Relationship Id="rId207" Type="http://schemas.openxmlformats.org/officeDocument/2006/relationships/ctrlProp" Target="../ctrlProps/ctrlProp252.xml"/><Relationship Id="rId249" Type="http://schemas.openxmlformats.org/officeDocument/2006/relationships/ctrlProp" Target="../ctrlProps/ctrlProp294.xml"/><Relationship Id="rId13" Type="http://schemas.openxmlformats.org/officeDocument/2006/relationships/ctrlProp" Target="../ctrlProps/ctrlProp58.xml"/><Relationship Id="rId109" Type="http://schemas.openxmlformats.org/officeDocument/2006/relationships/ctrlProp" Target="../ctrlProps/ctrlProp154.xml"/><Relationship Id="rId260" Type="http://schemas.openxmlformats.org/officeDocument/2006/relationships/ctrlProp" Target="../ctrlProps/ctrlProp305.xml"/><Relationship Id="rId316" Type="http://schemas.openxmlformats.org/officeDocument/2006/relationships/ctrlProp" Target="../ctrlProps/ctrlProp361.xml"/><Relationship Id="rId55" Type="http://schemas.openxmlformats.org/officeDocument/2006/relationships/ctrlProp" Target="../ctrlProps/ctrlProp100.xml"/><Relationship Id="rId97" Type="http://schemas.openxmlformats.org/officeDocument/2006/relationships/ctrlProp" Target="../ctrlProps/ctrlProp142.xml"/><Relationship Id="rId120" Type="http://schemas.openxmlformats.org/officeDocument/2006/relationships/ctrlProp" Target="../ctrlProps/ctrlProp165.xml"/><Relationship Id="rId358" Type="http://schemas.openxmlformats.org/officeDocument/2006/relationships/ctrlProp" Target="../ctrlProps/ctrlProp403.xml"/><Relationship Id="rId162" Type="http://schemas.openxmlformats.org/officeDocument/2006/relationships/ctrlProp" Target="../ctrlProps/ctrlProp207.xml"/><Relationship Id="rId218" Type="http://schemas.openxmlformats.org/officeDocument/2006/relationships/ctrlProp" Target="../ctrlProps/ctrlProp263.xml"/><Relationship Id="rId271" Type="http://schemas.openxmlformats.org/officeDocument/2006/relationships/ctrlProp" Target="../ctrlProps/ctrlProp316.xml"/><Relationship Id="rId24" Type="http://schemas.openxmlformats.org/officeDocument/2006/relationships/ctrlProp" Target="../ctrlProps/ctrlProp69.xml"/><Relationship Id="rId66" Type="http://schemas.openxmlformats.org/officeDocument/2006/relationships/ctrlProp" Target="../ctrlProps/ctrlProp111.xml"/><Relationship Id="rId131" Type="http://schemas.openxmlformats.org/officeDocument/2006/relationships/ctrlProp" Target="../ctrlProps/ctrlProp176.xml"/><Relationship Id="rId327" Type="http://schemas.openxmlformats.org/officeDocument/2006/relationships/ctrlProp" Target="../ctrlProps/ctrlProp372.xml"/><Relationship Id="rId369" Type="http://schemas.openxmlformats.org/officeDocument/2006/relationships/ctrlProp" Target="../ctrlProps/ctrlProp414.xml"/><Relationship Id="rId173" Type="http://schemas.openxmlformats.org/officeDocument/2006/relationships/ctrlProp" Target="../ctrlProps/ctrlProp218.xml"/><Relationship Id="rId229" Type="http://schemas.openxmlformats.org/officeDocument/2006/relationships/ctrlProp" Target="../ctrlProps/ctrlProp274.xml"/><Relationship Id="rId380" Type="http://schemas.openxmlformats.org/officeDocument/2006/relationships/ctrlProp" Target="../ctrlProps/ctrlProp425.xml"/><Relationship Id="rId240" Type="http://schemas.openxmlformats.org/officeDocument/2006/relationships/ctrlProp" Target="../ctrlProps/ctrlProp285.xml"/><Relationship Id="rId35" Type="http://schemas.openxmlformats.org/officeDocument/2006/relationships/ctrlProp" Target="../ctrlProps/ctrlProp80.xml"/><Relationship Id="rId77" Type="http://schemas.openxmlformats.org/officeDocument/2006/relationships/ctrlProp" Target="../ctrlProps/ctrlProp122.xml"/><Relationship Id="rId100" Type="http://schemas.openxmlformats.org/officeDocument/2006/relationships/ctrlProp" Target="../ctrlProps/ctrlProp145.xml"/><Relationship Id="rId282" Type="http://schemas.openxmlformats.org/officeDocument/2006/relationships/ctrlProp" Target="../ctrlProps/ctrlProp327.xml"/><Relationship Id="rId338" Type="http://schemas.openxmlformats.org/officeDocument/2006/relationships/ctrlProp" Target="../ctrlProps/ctrlProp383.xml"/><Relationship Id="rId8" Type="http://schemas.openxmlformats.org/officeDocument/2006/relationships/ctrlProp" Target="../ctrlProps/ctrlProp53.xml"/><Relationship Id="rId142" Type="http://schemas.openxmlformats.org/officeDocument/2006/relationships/ctrlProp" Target="../ctrlProps/ctrlProp187.xml"/><Relationship Id="rId184" Type="http://schemas.openxmlformats.org/officeDocument/2006/relationships/ctrlProp" Target="../ctrlProps/ctrlProp229.xml"/><Relationship Id="rId391" Type="http://schemas.openxmlformats.org/officeDocument/2006/relationships/ctrlProp" Target="../ctrlProps/ctrlProp436.xml"/><Relationship Id="rId405" Type="http://schemas.openxmlformats.org/officeDocument/2006/relationships/ctrlProp" Target="../ctrlProps/ctrlProp450.xml"/><Relationship Id="rId251" Type="http://schemas.openxmlformats.org/officeDocument/2006/relationships/ctrlProp" Target="../ctrlProps/ctrlProp296.xml"/><Relationship Id="rId46" Type="http://schemas.openxmlformats.org/officeDocument/2006/relationships/ctrlProp" Target="../ctrlProps/ctrlProp91.xml"/><Relationship Id="rId293" Type="http://schemas.openxmlformats.org/officeDocument/2006/relationships/ctrlProp" Target="../ctrlProps/ctrlProp338.xml"/><Relationship Id="rId307" Type="http://schemas.openxmlformats.org/officeDocument/2006/relationships/ctrlProp" Target="../ctrlProps/ctrlProp352.xml"/><Relationship Id="rId349" Type="http://schemas.openxmlformats.org/officeDocument/2006/relationships/ctrlProp" Target="../ctrlProps/ctrlProp394.xml"/><Relationship Id="rId88" Type="http://schemas.openxmlformats.org/officeDocument/2006/relationships/ctrlProp" Target="../ctrlProps/ctrlProp133.xml"/><Relationship Id="rId111" Type="http://schemas.openxmlformats.org/officeDocument/2006/relationships/ctrlProp" Target="../ctrlProps/ctrlProp156.xml"/><Relationship Id="rId153" Type="http://schemas.openxmlformats.org/officeDocument/2006/relationships/ctrlProp" Target="../ctrlProps/ctrlProp198.xml"/><Relationship Id="rId195" Type="http://schemas.openxmlformats.org/officeDocument/2006/relationships/ctrlProp" Target="../ctrlProps/ctrlProp240.xml"/><Relationship Id="rId209" Type="http://schemas.openxmlformats.org/officeDocument/2006/relationships/ctrlProp" Target="../ctrlProps/ctrlProp254.xml"/><Relationship Id="rId360" Type="http://schemas.openxmlformats.org/officeDocument/2006/relationships/ctrlProp" Target="../ctrlProps/ctrlProp405.xml"/><Relationship Id="rId220" Type="http://schemas.openxmlformats.org/officeDocument/2006/relationships/ctrlProp" Target="../ctrlProps/ctrlProp265.xml"/><Relationship Id="rId15" Type="http://schemas.openxmlformats.org/officeDocument/2006/relationships/ctrlProp" Target="../ctrlProps/ctrlProp60.xml"/><Relationship Id="rId57" Type="http://schemas.openxmlformats.org/officeDocument/2006/relationships/ctrlProp" Target="../ctrlProps/ctrlProp102.xml"/><Relationship Id="rId262" Type="http://schemas.openxmlformats.org/officeDocument/2006/relationships/ctrlProp" Target="../ctrlProps/ctrlProp307.xml"/><Relationship Id="rId318" Type="http://schemas.openxmlformats.org/officeDocument/2006/relationships/ctrlProp" Target="../ctrlProps/ctrlProp363.xml"/><Relationship Id="rId99" Type="http://schemas.openxmlformats.org/officeDocument/2006/relationships/ctrlProp" Target="../ctrlProps/ctrlProp144.xml"/><Relationship Id="rId122" Type="http://schemas.openxmlformats.org/officeDocument/2006/relationships/ctrlProp" Target="../ctrlProps/ctrlProp167.xml"/><Relationship Id="rId164" Type="http://schemas.openxmlformats.org/officeDocument/2006/relationships/ctrlProp" Target="../ctrlProps/ctrlProp209.xml"/><Relationship Id="rId371" Type="http://schemas.openxmlformats.org/officeDocument/2006/relationships/ctrlProp" Target="../ctrlProps/ctrlProp416.xml"/><Relationship Id="rId26" Type="http://schemas.openxmlformats.org/officeDocument/2006/relationships/ctrlProp" Target="../ctrlProps/ctrlProp71.xml"/><Relationship Id="rId231" Type="http://schemas.openxmlformats.org/officeDocument/2006/relationships/ctrlProp" Target="../ctrlProps/ctrlProp276.xml"/><Relationship Id="rId273" Type="http://schemas.openxmlformats.org/officeDocument/2006/relationships/ctrlProp" Target="../ctrlProps/ctrlProp318.xml"/><Relationship Id="rId329" Type="http://schemas.openxmlformats.org/officeDocument/2006/relationships/ctrlProp" Target="../ctrlProps/ctrlProp374.xml"/><Relationship Id="rId68" Type="http://schemas.openxmlformats.org/officeDocument/2006/relationships/ctrlProp" Target="../ctrlProps/ctrlProp113.xml"/><Relationship Id="rId133" Type="http://schemas.openxmlformats.org/officeDocument/2006/relationships/ctrlProp" Target="../ctrlProps/ctrlProp178.xml"/><Relationship Id="rId175" Type="http://schemas.openxmlformats.org/officeDocument/2006/relationships/ctrlProp" Target="../ctrlProps/ctrlProp220.xml"/><Relationship Id="rId340" Type="http://schemas.openxmlformats.org/officeDocument/2006/relationships/ctrlProp" Target="../ctrlProps/ctrlProp385.xml"/><Relationship Id="rId200" Type="http://schemas.openxmlformats.org/officeDocument/2006/relationships/ctrlProp" Target="../ctrlProps/ctrlProp245.xml"/><Relationship Id="rId382" Type="http://schemas.openxmlformats.org/officeDocument/2006/relationships/ctrlProp" Target="../ctrlProps/ctrlProp427.xml"/><Relationship Id="rId242" Type="http://schemas.openxmlformats.org/officeDocument/2006/relationships/ctrlProp" Target="../ctrlProps/ctrlProp287.xml"/><Relationship Id="rId284" Type="http://schemas.openxmlformats.org/officeDocument/2006/relationships/ctrlProp" Target="../ctrlProps/ctrlProp329.xml"/><Relationship Id="rId37" Type="http://schemas.openxmlformats.org/officeDocument/2006/relationships/ctrlProp" Target="../ctrlProps/ctrlProp82.xml"/><Relationship Id="rId79" Type="http://schemas.openxmlformats.org/officeDocument/2006/relationships/ctrlProp" Target="../ctrlProps/ctrlProp124.xml"/><Relationship Id="rId102" Type="http://schemas.openxmlformats.org/officeDocument/2006/relationships/ctrlProp" Target="../ctrlProps/ctrlProp147.xml"/><Relationship Id="rId144" Type="http://schemas.openxmlformats.org/officeDocument/2006/relationships/ctrlProp" Target="../ctrlProps/ctrlProp189.xml"/><Relationship Id="rId90" Type="http://schemas.openxmlformats.org/officeDocument/2006/relationships/ctrlProp" Target="../ctrlProps/ctrlProp135.xml"/><Relationship Id="rId186" Type="http://schemas.openxmlformats.org/officeDocument/2006/relationships/ctrlProp" Target="../ctrlProps/ctrlProp231.xml"/><Relationship Id="rId351" Type="http://schemas.openxmlformats.org/officeDocument/2006/relationships/ctrlProp" Target="../ctrlProps/ctrlProp396.xml"/><Relationship Id="rId393" Type="http://schemas.openxmlformats.org/officeDocument/2006/relationships/ctrlProp" Target="../ctrlProps/ctrlProp438.xml"/><Relationship Id="rId407" Type="http://schemas.openxmlformats.org/officeDocument/2006/relationships/ctrlProp" Target="../ctrlProps/ctrlProp452.xml"/><Relationship Id="rId211" Type="http://schemas.openxmlformats.org/officeDocument/2006/relationships/ctrlProp" Target="../ctrlProps/ctrlProp256.xml"/><Relationship Id="rId253" Type="http://schemas.openxmlformats.org/officeDocument/2006/relationships/ctrlProp" Target="../ctrlProps/ctrlProp298.xml"/><Relationship Id="rId295" Type="http://schemas.openxmlformats.org/officeDocument/2006/relationships/ctrlProp" Target="../ctrlProps/ctrlProp340.xml"/><Relationship Id="rId309" Type="http://schemas.openxmlformats.org/officeDocument/2006/relationships/ctrlProp" Target="../ctrlProps/ctrlProp354.xml"/><Relationship Id="rId48" Type="http://schemas.openxmlformats.org/officeDocument/2006/relationships/ctrlProp" Target="../ctrlProps/ctrlProp93.xml"/><Relationship Id="rId113" Type="http://schemas.openxmlformats.org/officeDocument/2006/relationships/ctrlProp" Target="../ctrlProps/ctrlProp158.xml"/><Relationship Id="rId320" Type="http://schemas.openxmlformats.org/officeDocument/2006/relationships/ctrlProp" Target="../ctrlProps/ctrlProp36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151D1-6191-4B17-A8E6-9655C8FC814E}">
  <dimension ref="B1:AE67"/>
  <sheetViews>
    <sheetView tabSelected="1" zoomScaleNormal="100" workbookViewId="0">
      <pane xSplit="6" ySplit="8" topLeftCell="G9" activePane="bottomRight" state="frozen"/>
      <selection pane="topRight" activeCell="F1" sqref="F1"/>
      <selection pane="bottomLeft" activeCell="A7" sqref="A7"/>
      <selection pane="bottomRight" activeCell="G67" activeCellId="1" sqref="G64 G67"/>
    </sheetView>
  </sheetViews>
  <sheetFormatPr baseColWidth="10" defaultColWidth="11.42578125" defaultRowHeight="12.75" x14ac:dyDescent="0.2"/>
  <cols>
    <col min="1" max="2" width="11.42578125" style="1"/>
    <col min="3" max="3" width="77.5703125" style="1" customWidth="1"/>
    <col min="4" max="4" width="11.7109375" style="1" bestFit="1" customWidth="1"/>
    <col min="5" max="5" width="3.7109375" style="1" customWidth="1"/>
    <col min="6" max="6" width="12.7109375" style="1" hidden="1" customWidth="1"/>
    <col min="7" max="7" width="16" style="1" bestFit="1" customWidth="1"/>
    <col min="8" max="16" width="17.7109375" style="1" customWidth="1"/>
    <col min="17" max="17" width="13.42578125" style="1" customWidth="1"/>
    <col min="18" max="27" width="17.7109375" style="1" customWidth="1"/>
    <col min="28" max="30" width="11.42578125" style="1"/>
    <col min="31" max="31" width="12.7109375" style="1" hidden="1" customWidth="1"/>
    <col min="32" max="16384" width="11.42578125" style="1"/>
  </cols>
  <sheetData>
    <row r="1" spans="2:31" x14ac:dyDescent="0.2">
      <c r="C1" s="17" t="s">
        <v>0</v>
      </c>
      <c r="D1" s="18">
        <v>830</v>
      </c>
      <c r="E1" s="23"/>
      <c r="F1" s="3"/>
      <c r="AE1" s="1" t="b">
        <v>1</v>
      </c>
    </row>
    <row r="2" spans="2:31" x14ac:dyDescent="0.2">
      <c r="C2" s="17" t="s">
        <v>1</v>
      </c>
      <c r="D2" s="18">
        <v>125</v>
      </c>
      <c r="E2" s="23"/>
      <c r="F2" s="3"/>
    </row>
    <row r="3" spans="2:31" x14ac:dyDescent="0.2">
      <c r="C3" s="17" t="s">
        <v>2</v>
      </c>
      <c r="D3" s="18">
        <v>0</v>
      </c>
      <c r="E3" s="23"/>
      <c r="F3" s="3"/>
      <c r="AE3" s="1" t="b">
        <v>0</v>
      </c>
    </row>
    <row r="4" spans="2:31" x14ac:dyDescent="0.2">
      <c r="C4" s="17" t="s">
        <v>3</v>
      </c>
      <c r="D4" s="18">
        <v>0</v>
      </c>
      <c r="E4" s="23"/>
      <c r="F4" s="3"/>
    </row>
    <row r="5" spans="2:31" x14ac:dyDescent="0.2">
      <c r="C5" s="17" t="s">
        <v>4</v>
      </c>
      <c r="D5" s="19">
        <v>6</v>
      </c>
      <c r="E5" s="24"/>
    </row>
    <row r="6" spans="2:31" x14ac:dyDescent="0.2">
      <c r="C6" s="17" t="s">
        <v>5</v>
      </c>
      <c r="D6" s="19">
        <v>0</v>
      </c>
      <c r="E6" s="24"/>
    </row>
    <row r="7" spans="2:31" ht="25.5" customHeight="1" x14ac:dyDescent="0.2">
      <c r="G7" s="4" t="s">
        <v>6</v>
      </c>
      <c r="H7" s="4" t="s">
        <v>7</v>
      </c>
      <c r="I7" s="4" t="s">
        <v>8</v>
      </c>
      <c r="J7" s="4" t="s">
        <v>9</v>
      </c>
      <c r="K7" s="4" t="s">
        <v>10</v>
      </c>
      <c r="L7" s="4" t="s">
        <v>11</v>
      </c>
      <c r="M7" s="4" t="s">
        <v>12</v>
      </c>
      <c r="N7" s="4" t="s">
        <v>13</v>
      </c>
      <c r="O7" s="4" t="s">
        <v>14</v>
      </c>
      <c r="P7" s="4" t="s">
        <v>15</v>
      </c>
      <c r="R7" s="4" t="s">
        <v>6</v>
      </c>
      <c r="S7" s="4" t="s">
        <v>7</v>
      </c>
      <c r="T7" s="4" t="s">
        <v>8</v>
      </c>
      <c r="U7" s="4" t="s">
        <v>9</v>
      </c>
      <c r="V7" s="4" t="s">
        <v>10</v>
      </c>
      <c r="W7" s="4" t="s">
        <v>11</v>
      </c>
      <c r="X7" s="4" t="s">
        <v>12</v>
      </c>
      <c r="Y7" s="4" t="s">
        <v>13</v>
      </c>
      <c r="Z7" s="4" t="s">
        <v>14</v>
      </c>
      <c r="AA7" s="4" t="s">
        <v>15</v>
      </c>
    </row>
    <row r="8" spans="2:31" ht="25.5" x14ac:dyDescent="0.2">
      <c r="B8" s="4" t="s">
        <v>16</v>
      </c>
      <c r="C8" s="4" t="s">
        <v>17</v>
      </c>
      <c r="D8" s="4" t="s">
        <v>18</v>
      </c>
      <c r="E8" s="4"/>
      <c r="F8" s="4" t="s">
        <v>19</v>
      </c>
      <c r="G8" s="4" t="s">
        <v>20</v>
      </c>
      <c r="H8" s="4" t="s">
        <v>20</v>
      </c>
      <c r="I8" s="4" t="s">
        <v>20</v>
      </c>
      <c r="J8" s="4" t="s">
        <v>20</v>
      </c>
      <c r="K8" s="4" t="s">
        <v>20</v>
      </c>
      <c r="L8" s="4" t="s">
        <v>20</v>
      </c>
      <c r="M8" s="4" t="s">
        <v>20</v>
      </c>
      <c r="N8" s="4" t="s">
        <v>20</v>
      </c>
      <c r="O8" s="4" t="s">
        <v>20</v>
      </c>
      <c r="P8" s="4" t="s">
        <v>20</v>
      </c>
      <c r="Q8" s="4" t="s">
        <v>21</v>
      </c>
      <c r="R8" s="5" t="s">
        <v>22</v>
      </c>
      <c r="S8" s="5" t="s">
        <v>22</v>
      </c>
      <c r="T8" s="5" t="s">
        <v>22</v>
      </c>
      <c r="U8" s="5" t="s">
        <v>22</v>
      </c>
      <c r="V8" s="5" t="s">
        <v>22</v>
      </c>
      <c r="W8" s="5" t="s">
        <v>22</v>
      </c>
      <c r="X8" s="5" t="s">
        <v>22</v>
      </c>
      <c r="Y8" s="5" t="s">
        <v>22</v>
      </c>
      <c r="Z8" s="5" t="s">
        <v>22</v>
      </c>
      <c r="AA8" s="5" t="s">
        <v>22</v>
      </c>
    </row>
    <row r="9" spans="2:31" x14ac:dyDescent="0.2">
      <c r="B9" s="6" t="s">
        <v>23</v>
      </c>
      <c r="C9" s="7" t="s">
        <v>24</v>
      </c>
      <c r="D9" s="8" t="s">
        <v>25</v>
      </c>
      <c r="E9" s="8"/>
      <c r="F9" s="8" t="b">
        <v>0</v>
      </c>
      <c r="G9" s="9">
        <v>50</v>
      </c>
      <c r="H9" s="9">
        <v>47.5</v>
      </c>
      <c r="I9" s="9">
        <v>65</v>
      </c>
      <c r="J9" s="9">
        <v>28</v>
      </c>
      <c r="K9" s="9">
        <v>67.430000000000007</v>
      </c>
      <c r="L9" s="9">
        <v>20</v>
      </c>
      <c r="M9" s="9">
        <v>7.5</v>
      </c>
      <c r="N9" s="9">
        <v>119.12</v>
      </c>
      <c r="O9" s="9">
        <v>60</v>
      </c>
      <c r="P9" s="9">
        <v>30</v>
      </c>
      <c r="Q9" s="8" t="b">
        <f>AND($D$1&gt;0,$D$1&lt;200,F9=TRUE)</f>
        <v>0</v>
      </c>
      <c r="R9" s="9">
        <f t="shared" ref="R9:AA11" si="0">IF($Q9=TRUE,G9*$D$1,0)</f>
        <v>0</v>
      </c>
      <c r="S9" s="9">
        <f t="shared" si="0"/>
        <v>0</v>
      </c>
      <c r="T9" s="9">
        <f t="shared" si="0"/>
        <v>0</v>
      </c>
      <c r="U9" s="9">
        <f t="shared" si="0"/>
        <v>0</v>
      </c>
      <c r="V9" s="9">
        <f t="shared" si="0"/>
        <v>0</v>
      </c>
      <c r="W9" s="9">
        <f t="shared" si="0"/>
        <v>0</v>
      </c>
      <c r="X9" s="9">
        <f t="shared" si="0"/>
        <v>0</v>
      </c>
      <c r="Y9" s="9">
        <f t="shared" si="0"/>
        <v>0</v>
      </c>
      <c r="Z9" s="9">
        <f t="shared" si="0"/>
        <v>0</v>
      </c>
      <c r="AA9" s="9">
        <f t="shared" si="0"/>
        <v>0</v>
      </c>
    </row>
    <row r="10" spans="2:31" x14ac:dyDescent="0.2">
      <c r="B10" s="6" t="s">
        <v>23</v>
      </c>
      <c r="C10" s="7" t="s">
        <v>24</v>
      </c>
      <c r="D10" s="8" t="s">
        <v>26</v>
      </c>
      <c r="E10" s="8"/>
      <c r="F10" s="8" t="b">
        <v>0</v>
      </c>
      <c r="G10" s="9">
        <v>50</v>
      </c>
      <c r="H10" s="9">
        <v>45</v>
      </c>
      <c r="I10" s="9">
        <v>60</v>
      </c>
      <c r="J10" s="9">
        <v>28</v>
      </c>
      <c r="K10" s="9">
        <v>67.430000000000007</v>
      </c>
      <c r="L10" s="9">
        <v>18</v>
      </c>
      <c r="M10" s="9">
        <v>7</v>
      </c>
      <c r="N10" s="9">
        <v>119.12</v>
      </c>
      <c r="O10" s="9">
        <v>57</v>
      </c>
      <c r="P10" s="9">
        <v>28</v>
      </c>
      <c r="Q10" s="8" t="b">
        <f>AND($D$1&gt;=200,$D$1&lt;600,F10=TRUE)</f>
        <v>0</v>
      </c>
      <c r="R10" s="9">
        <f t="shared" si="0"/>
        <v>0</v>
      </c>
      <c r="S10" s="9">
        <f t="shared" si="0"/>
        <v>0</v>
      </c>
      <c r="T10" s="9">
        <f t="shared" si="0"/>
        <v>0</v>
      </c>
      <c r="U10" s="9">
        <f t="shared" si="0"/>
        <v>0</v>
      </c>
      <c r="V10" s="9">
        <f t="shared" si="0"/>
        <v>0</v>
      </c>
      <c r="W10" s="9">
        <f t="shared" si="0"/>
        <v>0</v>
      </c>
      <c r="X10" s="9">
        <f t="shared" si="0"/>
        <v>0</v>
      </c>
      <c r="Y10" s="9">
        <f t="shared" si="0"/>
        <v>0</v>
      </c>
      <c r="Z10" s="9">
        <f t="shared" si="0"/>
        <v>0</v>
      </c>
      <c r="AA10" s="9">
        <f t="shared" si="0"/>
        <v>0</v>
      </c>
    </row>
    <row r="11" spans="2:31" x14ac:dyDescent="0.2">
      <c r="B11" s="6" t="s">
        <v>23</v>
      </c>
      <c r="C11" s="7" t="s">
        <v>24</v>
      </c>
      <c r="D11" s="8" t="s">
        <v>27</v>
      </c>
      <c r="E11" s="8"/>
      <c r="F11" s="8" t="b">
        <v>1</v>
      </c>
      <c r="G11" s="9">
        <v>50</v>
      </c>
      <c r="H11" s="9">
        <v>42.75</v>
      </c>
      <c r="I11" s="9">
        <v>50</v>
      </c>
      <c r="J11" s="9">
        <v>28</v>
      </c>
      <c r="K11" s="9">
        <v>67.430000000000007</v>
      </c>
      <c r="L11" s="9">
        <v>16</v>
      </c>
      <c r="M11" s="9">
        <v>6</v>
      </c>
      <c r="N11" s="9">
        <v>119.12</v>
      </c>
      <c r="O11" s="9">
        <v>54</v>
      </c>
      <c r="P11" s="9">
        <v>25</v>
      </c>
      <c r="Q11" s="8" t="b">
        <f>AND($D$1&gt;=600,F11=TRUE)</f>
        <v>1</v>
      </c>
      <c r="R11" s="9">
        <f>IF($Q11=TRUE,G11*$D$1,0)</f>
        <v>41500</v>
      </c>
      <c r="S11" s="9">
        <f t="shared" si="0"/>
        <v>35482.5</v>
      </c>
      <c r="T11" s="9">
        <f t="shared" si="0"/>
        <v>41500</v>
      </c>
      <c r="U11" s="9">
        <f t="shared" si="0"/>
        <v>23240</v>
      </c>
      <c r="V11" s="9">
        <f t="shared" si="0"/>
        <v>55966.900000000009</v>
      </c>
      <c r="W11" s="9">
        <f t="shared" si="0"/>
        <v>13280</v>
      </c>
      <c r="X11" s="9">
        <f t="shared" si="0"/>
        <v>4980</v>
      </c>
      <c r="Y11" s="9">
        <f t="shared" si="0"/>
        <v>98869.6</v>
      </c>
      <c r="Z11" s="9">
        <f t="shared" si="0"/>
        <v>44820</v>
      </c>
      <c r="AA11" s="9">
        <f t="shared" si="0"/>
        <v>20750</v>
      </c>
    </row>
    <row r="12" spans="2:31" x14ac:dyDescent="0.2">
      <c r="B12" s="10" t="s">
        <v>28</v>
      </c>
      <c r="C12" s="11" t="s">
        <v>29</v>
      </c>
      <c r="D12" s="12" t="s">
        <v>30</v>
      </c>
      <c r="E12" s="12"/>
      <c r="F12" s="12" t="b">
        <v>0</v>
      </c>
      <c r="G12" s="9">
        <v>90</v>
      </c>
      <c r="H12" s="9">
        <v>80</v>
      </c>
      <c r="I12" s="9">
        <v>90</v>
      </c>
      <c r="J12" s="9">
        <v>63</v>
      </c>
      <c r="K12" s="9">
        <v>54</v>
      </c>
      <c r="L12" s="9">
        <v>30</v>
      </c>
      <c r="M12" s="9">
        <v>16</v>
      </c>
      <c r="N12" s="9">
        <v>173.26</v>
      </c>
      <c r="O12" s="9">
        <v>60</v>
      </c>
      <c r="P12" s="9">
        <v>50</v>
      </c>
      <c r="Q12" s="12" t="b">
        <f>AND($D$3&gt;0,$D$3&lt;200,F12=TRUE)</f>
        <v>0</v>
      </c>
      <c r="R12" s="9">
        <f t="shared" ref="R12:AA12" si="1">IF($Q12=TRUE,G12*$D$3,0)</f>
        <v>0</v>
      </c>
      <c r="S12" s="9">
        <f t="shared" si="1"/>
        <v>0</v>
      </c>
      <c r="T12" s="9">
        <f t="shared" si="1"/>
        <v>0</v>
      </c>
      <c r="U12" s="9">
        <f t="shared" si="1"/>
        <v>0</v>
      </c>
      <c r="V12" s="9">
        <f t="shared" si="1"/>
        <v>0</v>
      </c>
      <c r="W12" s="9">
        <f t="shared" si="1"/>
        <v>0</v>
      </c>
      <c r="X12" s="9">
        <f t="shared" si="1"/>
        <v>0</v>
      </c>
      <c r="Y12" s="9">
        <f t="shared" si="1"/>
        <v>0</v>
      </c>
      <c r="Z12" s="9">
        <f t="shared" si="1"/>
        <v>0</v>
      </c>
      <c r="AA12" s="9">
        <f t="shared" si="1"/>
        <v>0</v>
      </c>
    </row>
    <row r="13" spans="2:31" x14ac:dyDescent="0.2">
      <c r="B13" s="10" t="s">
        <v>28</v>
      </c>
      <c r="C13" s="11" t="s">
        <v>29</v>
      </c>
      <c r="D13" s="12" t="s">
        <v>31</v>
      </c>
      <c r="E13" s="12"/>
      <c r="F13" s="12" t="b">
        <v>0</v>
      </c>
      <c r="G13" s="9">
        <v>75</v>
      </c>
      <c r="H13" s="9">
        <v>76.5</v>
      </c>
      <c r="I13" s="9">
        <v>80</v>
      </c>
      <c r="J13" s="9">
        <v>63</v>
      </c>
      <c r="K13" s="9">
        <v>54</v>
      </c>
      <c r="L13" s="9">
        <v>30</v>
      </c>
      <c r="M13" s="9">
        <v>14.5</v>
      </c>
      <c r="N13" s="9">
        <v>173.26</v>
      </c>
      <c r="O13" s="9">
        <v>57</v>
      </c>
      <c r="P13" s="9">
        <v>47</v>
      </c>
      <c r="Q13" s="12" t="b">
        <f>AND($D$3&gt;=200,$D$3&lt;500,F13=TRUE)</f>
        <v>0</v>
      </c>
      <c r="R13" s="9">
        <f t="shared" ref="R13:R14" si="2">IF($Q13=TRUE,G13*$D$3,0)</f>
        <v>0</v>
      </c>
      <c r="S13" s="9">
        <f t="shared" ref="S13:AA14" si="3">IF($Q13=TRUE,H13*$D$3,0)</f>
        <v>0</v>
      </c>
      <c r="T13" s="9">
        <f t="shared" si="3"/>
        <v>0</v>
      </c>
      <c r="U13" s="9">
        <f t="shared" si="3"/>
        <v>0</v>
      </c>
      <c r="V13" s="9">
        <f t="shared" si="3"/>
        <v>0</v>
      </c>
      <c r="W13" s="9">
        <f t="shared" si="3"/>
        <v>0</v>
      </c>
      <c r="X13" s="9">
        <f t="shared" si="3"/>
        <v>0</v>
      </c>
      <c r="Y13" s="9">
        <f t="shared" si="3"/>
        <v>0</v>
      </c>
      <c r="Z13" s="9">
        <f t="shared" si="3"/>
        <v>0</v>
      </c>
      <c r="AA13" s="9">
        <f t="shared" si="3"/>
        <v>0</v>
      </c>
    </row>
    <row r="14" spans="2:31" x14ac:dyDescent="0.2">
      <c r="B14" s="10" t="s">
        <v>28</v>
      </c>
      <c r="C14" s="11" t="s">
        <v>29</v>
      </c>
      <c r="D14" s="12" t="s">
        <v>32</v>
      </c>
      <c r="E14" s="12"/>
      <c r="F14" s="12" t="b">
        <v>0</v>
      </c>
      <c r="G14" s="9">
        <v>75</v>
      </c>
      <c r="H14" s="9">
        <v>72.5</v>
      </c>
      <c r="I14" s="9">
        <v>70</v>
      </c>
      <c r="J14" s="9">
        <v>63</v>
      </c>
      <c r="K14" s="9">
        <v>49</v>
      </c>
      <c r="L14" s="9">
        <v>25</v>
      </c>
      <c r="M14" s="9">
        <v>12.5</v>
      </c>
      <c r="N14" s="9">
        <v>173.26</v>
      </c>
      <c r="O14" s="9">
        <v>54</v>
      </c>
      <c r="P14" s="9">
        <v>45</v>
      </c>
      <c r="Q14" s="12" t="b">
        <f>AND($D$3&gt;=500,F14=TRUE)</f>
        <v>0</v>
      </c>
      <c r="R14" s="9">
        <f t="shared" si="2"/>
        <v>0</v>
      </c>
      <c r="S14" s="9">
        <f t="shared" si="3"/>
        <v>0</v>
      </c>
      <c r="T14" s="9">
        <f t="shared" si="3"/>
        <v>0</v>
      </c>
      <c r="U14" s="9">
        <f t="shared" si="3"/>
        <v>0</v>
      </c>
      <c r="V14" s="9">
        <f t="shared" si="3"/>
        <v>0</v>
      </c>
      <c r="W14" s="9">
        <f t="shared" si="3"/>
        <v>0</v>
      </c>
      <c r="X14" s="9">
        <f t="shared" si="3"/>
        <v>0</v>
      </c>
      <c r="Y14" s="9">
        <f t="shared" si="3"/>
        <v>0</v>
      </c>
      <c r="Z14" s="9">
        <f t="shared" si="3"/>
        <v>0</v>
      </c>
      <c r="AA14" s="9">
        <f t="shared" si="3"/>
        <v>0</v>
      </c>
    </row>
    <row r="15" spans="2:31" x14ac:dyDescent="0.2">
      <c r="B15" s="6" t="s">
        <v>23</v>
      </c>
      <c r="C15" s="7" t="s">
        <v>33</v>
      </c>
      <c r="D15" s="8" t="s">
        <v>25</v>
      </c>
      <c r="E15" s="8"/>
      <c r="F15" s="8" t="b">
        <v>0</v>
      </c>
      <c r="G15" s="9">
        <v>100</v>
      </c>
      <c r="H15" s="9">
        <v>115</v>
      </c>
      <c r="I15" s="9">
        <v>70</v>
      </c>
      <c r="J15" s="9">
        <v>119</v>
      </c>
      <c r="K15" s="9">
        <v>118</v>
      </c>
      <c r="L15" s="9">
        <v>40</v>
      </c>
      <c r="M15" s="9">
        <v>43</v>
      </c>
      <c r="N15" s="9">
        <v>435.76</v>
      </c>
      <c r="O15" s="9">
        <v>125</v>
      </c>
      <c r="P15" s="9">
        <v>65</v>
      </c>
      <c r="Q15" s="8" t="b">
        <f>AND($D$1&gt;0,$D$1&lt;200,F15=TRUE)</f>
        <v>0</v>
      </c>
      <c r="R15" s="9">
        <f t="shared" ref="R15:AA17" si="4">IF($Q15=TRUE,G15*$D$1,0)</f>
        <v>0</v>
      </c>
      <c r="S15" s="9">
        <f t="shared" si="4"/>
        <v>0</v>
      </c>
      <c r="T15" s="9">
        <f t="shared" si="4"/>
        <v>0</v>
      </c>
      <c r="U15" s="9">
        <f t="shared" si="4"/>
        <v>0</v>
      </c>
      <c r="V15" s="9">
        <f t="shared" si="4"/>
        <v>0</v>
      </c>
      <c r="W15" s="9">
        <f t="shared" si="4"/>
        <v>0</v>
      </c>
      <c r="X15" s="9">
        <f t="shared" si="4"/>
        <v>0</v>
      </c>
      <c r="Y15" s="9">
        <f t="shared" si="4"/>
        <v>0</v>
      </c>
      <c r="Z15" s="9">
        <f t="shared" si="4"/>
        <v>0</v>
      </c>
      <c r="AA15" s="9">
        <f t="shared" si="4"/>
        <v>0</v>
      </c>
    </row>
    <row r="16" spans="2:31" x14ac:dyDescent="0.2">
      <c r="B16" s="6" t="s">
        <v>23</v>
      </c>
      <c r="C16" s="7" t="s">
        <v>33</v>
      </c>
      <c r="D16" s="8" t="s">
        <v>26</v>
      </c>
      <c r="E16" s="8"/>
      <c r="F16" s="8" t="b">
        <v>0</v>
      </c>
      <c r="G16" s="9">
        <v>100</v>
      </c>
      <c r="H16" s="9">
        <v>105</v>
      </c>
      <c r="I16" s="9">
        <v>60</v>
      </c>
      <c r="J16" s="9">
        <v>104</v>
      </c>
      <c r="K16" s="9">
        <v>98.33</v>
      </c>
      <c r="L16" s="9">
        <v>38</v>
      </c>
      <c r="M16" s="9">
        <v>40</v>
      </c>
      <c r="N16" s="9">
        <v>244.24</v>
      </c>
      <c r="O16" s="9">
        <v>118</v>
      </c>
      <c r="P16" s="9">
        <v>62</v>
      </c>
      <c r="Q16" s="8" t="b">
        <f>AND($D$1&gt;=200,$D$1&lt;600,F16=TRUE)</f>
        <v>0</v>
      </c>
      <c r="R16" s="9">
        <f t="shared" si="4"/>
        <v>0</v>
      </c>
      <c r="S16" s="9">
        <f t="shared" si="4"/>
        <v>0</v>
      </c>
      <c r="T16" s="9">
        <f t="shared" si="4"/>
        <v>0</v>
      </c>
      <c r="U16" s="9">
        <f t="shared" si="4"/>
        <v>0</v>
      </c>
      <c r="V16" s="9">
        <f t="shared" si="4"/>
        <v>0</v>
      </c>
      <c r="W16" s="9">
        <f t="shared" si="4"/>
        <v>0</v>
      </c>
      <c r="X16" s="9">
        <f t="shared" si="4"/>
        <v>0</v>
      </c>
      <c r="Y16" s="9">
        <f t="shared" si="4"/>
        <v>0</v>
      </c>
      <c r="Z16" s="9">
        <f t="shared" si="4"/>
        <v>0</v>
      </c>
      <c r="AA16" s="9">
        <f t="shared" si="4"/>
        <v>0</v>
      </c>
    </row>
    <row r="17" spans="2:27" x14ac:dyDescent="0.2">
      <c r="B17" s="6" t="s">
        <v>23</v>
      </c>
      <c r="C17" s="7" t="s">
        <v>33</v>
      </c>
      <c r="D17" s="8" t="s">
        <v>27</v>
      </c>
      <c r="E17" s="8"/>
      <c r="F17" s="8" t="b">
        <v>1</v>
      </c>
      <c r="G17" s="9">
        <v>100</v>
      </c>
      <c r="H17" s="9">
        <v>100</v>
      </c>
      <c r="I17" s="9">
        <v>50</v>
      </c>
      <c r="J17" s="9">
        <v>100</v>
      </c>
      <c r="K17" s="9">
        <v>98.33</v>
      </c>
      <c r="L17" s="9">
        <v>35</v>
      </c>
      <c r="M17" s="9">
        <v>36</v>
      </c>
      <c r="N17" s="9">
        <v>169.13</v>
      </c>
      <c r="O17" s="9">
        <v>110</v>
      </c>
      <c r="P17" s="9">
        <v>60</v>
      </c>
      <c r="Q17" s="8" t="b">
        <f>AND($D$1&gt;=600,F17=TRUE)</f>
        <v>1</v>
      </c>
      <c r="R17" s="9">
        <f t="shared" si="4"/>
        <v>83000</v>
      </c>
      <c r="S17" s="9">
        <f t="shared" si="4"/>
        <v>83000</v>
      </c>
      <c r="T17" s="9">
        <f t="shared" si="4"/>
        <v>41500</v>
      </c>
      <c r="U17" s="9">
        <f t="shared" si="4"/>
        <v>83000</v>
      </c>
      <c r="V17" s="9">
        <f t="shared" si="4"/>
        <v>81613.899999999994</v>
      </c>
      <c r="W17" s="9">
        <f t="shared" si="4"/>
        <v>29050</v>
      </c>
      <c r="X17" s="9">
        <f t="shared" si="4"/>
        <v>29880</v>
      </c>
      <c r="Y17" s="9">
        <f t="shared" si="4"/>
        <v>140377.9</v>
      </c>
      <c r="Z17" s="9">
        <f t="shared" si="4"/>
        <v>91300</v>
      </c>
      <c r="AA17" s="9">
        <f t="shared" si="4"/>
        <v>49800</v>
      </c>
    </row>
    <row r="18" spans="2:27" x14ac:dyDescent="0.2">
      <c r="B18" s="10" t="s">
        <v>28</v>
      </c>
      <c r="C18" s="11" t="s">
        <v>34</v>
      </c>
      <c r="D18" s="12" t="s">
        <v>30</v>
      </c>
      <c r="E18" s="12"/>
      <c r="F18" s="12" t="b">
        <v>0</v>
      </c>
      <c r="G18" s="9">
        <v>200</v>
      </c>
      <c r="H18" s="9">
        <v>200</v>
      </c>
      <c r="I18" s="9">
        <v>100</v>
      </c>
      <c r="J18" s="9">
        <v>216</v>
      </c>
      <c r="K18" s="9">
        <v>153</v>
      </c>
      <c r="L18" s="9">
        <v>50</v>
      </c>
      <c r="M18" s="9">
        <v>88.5</v>
      </c>
      <c r="N18" s="9">
        <v>490.88</v>
      </c>
      <c r="O18" s="9">
        <v>125</v>
      </c>
      <c r="P18" s="9">
        <v>75</v>
      </c>
      <c r="Q18" s="12" t="b">
        <f>AND($D$3&gt;0,$D$3&lt;200,F18=TRUE)</f>
        <v>0</v>
      </c>
      <c r="R18" s="9">
        <f t="shared" ref="R18:AA18" si="5">IF($Q18=TRUE,G18*$D$3,0)</f>
        <v>0</v>
      </c>
      <c r="S18" s="9">
        <f t="shared" si="5"/>
        <v>0</v>
      </c>
      <c r="T18" s="9">
        <f t="shared" si="5"/>
        <v>0</v>
      </c>
      <c r="U18" s="9">
        <f t="shared" si="5"/>
        <v>0</v>
      </c>
      <c r="V18" s="9">
        <f t="shared" si="5"/>
        <v>0</v>
      </c>
      <c r="W18" s="9">
        <f t="shared" si="5"/>
        <v>0</v>
      </c>
      <c r="X18" s="9">
        <f t="shared" si="5"/>
        <v>0</v>
      </c>
      <c r="Y18" s="9">
        <f t="shared" si="5"/>
        <v>0</v>
      </c>
      <c r="Z18" s="9">
        <f t="shared" si="5"/>
        <v>0</v>
      </c>
      <c r="AA18" s="9">
        <f t="shared" si="5"/>
        <v>0</v>
      </c>
    </row>
    <row r="19" spans="2:27" x14ac:dyDescent="0.2">
      <c r="B19" s="10" t="s">
        <v>28</v>
      </c>
      <c r="C19" s="11" t="s">
        <v>34</v>
      </c>
      <c r="D19" s="12" t="s">
        <v>31</v>
      </c>
      <c r="E19" s="12"/>
      <c r="F19" s="12" t="b">
        <v>0</v>
      </c>
      <c r="G19" s="9">
        <v>150</v>
      </c>
      <c r="H19" s="9">
        <v>180</v>
      </c>
      <c r="I19" s="9">
        <v>90</v>
      </c>
      <c r="J19" s="9">
        <v>204</v>
      </c>
      <c r="K19" s="9">
        <v>153</v>
      </c>
      <c r="L19" s="9">
        <v>45</v>
      </c>
      <c r="M19" s="9">
        <v>82</v>
      </c>
      <c r="N19" s="9">
        <v>368.16</v>
      </c>
      <c r="O19" s="9">
        <v>118</v>
      </c>
      <c r="P19" s="9">
        <v>72</v>
      </c>
      <c r="Q19" s="12" t="b">
        <f>AND($D$3&gt;=200,$D$3&lt;500,F19=TRUE)</f>
        <v>0</v>
      </c>
      <c r="R19" s="9">
        <f t="shared" ref="R19:R20" si="6">IF($Q19=TRUE,G19*$D$3,0)</f>
        <v>0</v>
      </c>
      <c r="S19" s="9">
        <f t="shared" ref="S19:AA20" si="7">IF($Q19=TRUE,H19*$D$3,0)</f>
        <v>0</v>
      </c>
      <c r="T19" s="9">
        <f t="shared" si="7"/>
        <v>0</v>
      </c>
      <c r="U19" s="9">
        <f t="shared" si="7"/>
        <v>0</v>
      </c>
      <c r="V19" s="9">
        <f t="shared" si="7"/>
        <v>0</v>
      </c>
      <c r="W19" s="9">
        <f t="shared" si="7"/>
        <v>0</v>
      </c>
      <c r="X19" s="9">
        <f t="shared" si="7"/>
        <v>0</v>
      </c>
      <c r="Y19" s="9">
        <f t="shared" si="7"/>
        <v>0</v>
      </c>
      <c r="Z19" s="9">
        <f t="shared" si="7"/>
        <v>0</v>
      </c>
      <c r="AA19" s="9">
        <f t="shared" si="7"/>
        <v>0</v>
      </c>
    </row>
    <row r="20" spans="2:27" x14ac:dyDescent="0.2">
      <c r="B20" s="10" t="s">
        <v>28</v>
      </c>
      <c r="C20" s="11" t="s">
        <v>34</v>
      </c>
      <c r="D20" s="12" t="s">
        <v>32</v>
      </c>
      <c r="E20" s="12"/>
      <c r="F20" s="12" t="b">
        <v>0</v>
      </c>
      <c r="G20" s="9">
        <v>100</v>
      </c>
      <c r="H20" s="9">
        <v>170</v>
      </c>
      <c r="I20" s="9">
        <v>80</v>
      </c>
      <c r="J20" s="9">
        <v>185</v>
      </c>
      <c r="K20" s="9">
        <v>128</v>
      </c>
      <c r="L20" s="9">
        <v>40</v>
      </c>
      <c r="M20" s="9">
        <v>74.5</v>
      </c>
      <c r="N20" s="9">
        <v>253.5</v>
      </c>
      <c r="O20" s="9">
        <v>110</v>
      </c>
      <c r="P20" s="9">
        <v>70</v>
      </c>
      <c r="Q20" s="12" t="b">
        <f>AND($D$3&gt;=500,F20=TRUE)</f>
        <v>0</v>
      </c>
      <c r="R20" s="9">
        <f t="shared" si="6"/>
        <v>0</v>
      </c>
      <c r="S20" s="9">
        <f t="shared" si="7"/>
        <v>0</v>
      </c>
      <c r="T20" s="9">
        <f t="shared" si="7"/>
        <v>0</v>
      </c>
      <c r="U20" s="9">
        <f t="shared" si="7"/>
        <v>0</v>
      </c>
      <c r="V20" s="9">
        <f t="shared" si="7"/>
        <v>0</v>
      </c>
      <c r="W20" s="9">
        <f t="shared" si="7"/>
        <v>0</v>
      </c>
      <c r="X20" s="9">
        <f t="shared" si="7"/>
        <v>0</v>
      </c>
      <c r="Y20" s="9">
        <f t="shared" si="7"/>
        <v>0</v>
      </c>
      <c r="Z20" s="9">
        <f t="shared" si="7"/>
        <v>0</v>
      </c>
      <c r="AA20" s="9">
        <f t="shared" si="7"/>
        <v>0</v>
      </c>
    </row>
    <row r="21" spans="2:27" x14ac:dyDescent="0.2">
      <c r="B21" s="6" t="s">
        <v>23</v>
      </c>
      <c r="C21" s="7" t="s">
        <v>35</v>
      </c>
      <c r="D21" s="8" t="s">
        <v>25</v>
      </c>
      <c r="E21" s="8"/>
      <c r="F21" s="8" t="b">
        <v>0</v>
      </c>
      <c r="G21" s="9">
        <v>50</v>
      </c>
      <c r="H21" s="9">
        <v>59</v>
      </c>
      <c r="I21" s="9">
        <v>75</v>
      </c>
      <c r="J21" s="9">
        <v>91</v>
      </c>
      <c r="K21" s="9">
        <v>54</v>
      </c>
      <c r="L21" s="9">
        <v>40</v>
      </c>
      <c r="M21" s="9">
        <v>27</v>
      </c>
      <c r="N21" s="9">
        <v>34.25</v>
      </c>
      <c r="O21" s="9">
        <v>105</v>
      </c>
      <c r="P21" s="9">
        <v>45</v>
      </c>
      <c r="Q21" s="8" t="b">
        <f>AND($D$1&gt;0,$D$1&lt;200,F21=TRUE)</f>
        <v>0</v>
      </c>
      <c r="R21" s="9">
        <f t="shared" ref="R21:AA23" si="8">IF($Q21=TRUE,G21*$D$1,0)</f>
        <v>0</v>
      </c>
      <c r="S21" s="9">
        <f t="shared" si="8"/>
        <v>0</v>
      </c>
      <c r="T21" s="9">
        <f t="shared" si="8"/>
        <v>0</v>
      </c>
      <c r="U21" s="9">
        <f t="shared" si="8"/>
        <v>0</v>
      </c>
      <c r="V21" s="9">
        <f t="shared" si="8"/>
        <v>0</v>
      </c>
      <c r="W21" s="9">
        <f t="shared" si="8"/>
        <v>0</v>
      </c>
      <c r="X21" s="9">
        <f t="shared" si="8"/>
        <v>0</v>
      </c>
      <c r="Y21" s="9">
        <f t="shared" si="8"/>
        <v>0</v>
      </c>
      <c r="Z21" s="9">
        <f t="shared" si="8"/>
        <v>0</v>
      </c>
      <c r="AA21" s="9">
        <f t="shared" si="8"/>
        <v>0</v>
      </c>
    </row>
    <row r="22" spans="2:27" x14ac:dyDescent="0.2">
      <c r="B22" s="6" t="s">
        <v>23</v>
      </c>
      <c r="C22" s="7" t="s">
        <v>35</v>
      </c>
      <c r="D22" s="8" t="s">
        <v>26</v>
      </c>
      <c r="E22" s="8"/>
      <c r="F22" s="8" t="b">
        <v>0</v>
      </c>
      <c r="G22" s="9">
        <v>50</v>
      </c>
      <c r="H22" s="9">
        <v>55</v>
      </c>
      <c r="I22" s="9">
        <v>70</v>
      </c>
      <c r="J22" s="9">
        <v>85</v>
      </c>
      <c r="K22" s="9">
        <v>54</v>
      </c>
      <c r="L22" s="9">
        <v>34</v>
      </c>
      <c r="M22" s="9">
        <v>23</v>
      </c>
      <c r="N22" s="9">
        <v>34.25</v>
      </c>
      <c r="O22" s="9">
        <v>100</v>
      </c>
      <c r="P22" s="9">
        <v>42</v>
      </c>
      <c r="Q22" s="8" t="b">
        <f>AND($D$1&gt;=200,$D$1&lt;600,F22=TRUE)</f>
        <v>0</v>
      </c>
      <c r="R22" s="9">
        <f t="shared" si="8"/>
        <v>0</v>
      </c>
      <c r="S22" s="9">
        <f t="shared" si="8"/>
        <v>0</v>
      </c>
      <c r="T22" s="9">
        <f t="shared" si="8"/>
        <v>0</v>
      </c>
      <c r="U22" s="9">
        <f t="shared" si="8"/>
        <v>0</v>
      </c>
      <c r="V22" s="9">
        <f t="shared" si="8"/>
        <v>0</v>
      </c>
      <c r="W22" s="9">
        <f t="shared" si="8"/>
        <v>0</v>
      </c>
      <c r="X22" s="9">
        <f t="shared" si="8"/>
        <v>0</v>
      </c>
      <c r="Y22" s="9">
        <f t="shared" si="8"/>
        <v>0</v>
      </c>
      <c r="Z22" s="9">
        <f t="shared" si="8"/>
        <v>0</v>
      </c>
      <c r="AA22" s="9">
        <f t="shared" si="8"/>
        <v>0</v>
      </c>
    </row>
    <row r="23" spans="2:27" x14ac:dyDescent="0.2">
      <c r="B23" s="6" t="s">
        <v>23</v>
      </c>
      <c r="C23" s="7" t="s">
        <v>35</v>
      </c>
      <c r="D23" s="8" t="s">
        <v>27</v>
      </c>
      <c r="E23" s="8"/>
      <c r="F23" s="8" t="b">
        <v>1</v>
      </c>
      <c r="G23" s="9">
        <v>50</v>
      </c>
      <c r="H23" s="9">
        <v>53</v>
      </c>
      <c r="I23" s="9">
        <v>65</v>
      </c>
      <c r="J23" s="9">
        <v>80</v>
      </c>
      <c r="K23" s="9">
        <v>54</v>
      </c>
      <c r="L23" s="9">
        <v>29</v>
      </c>
      <c r="M23" s="9">
        <v>21</v>
      </c>
      <c r="N23" s="9">
        <v>34.25</v>
      </c>
      <c r="O23" s="9">
        <v>95</v>
      </c>
      <c r="P23" s="9">
        <v>40</v>
      </c>
      <c r="Q23" s="8" t="b">
        <f>AND($D$1&gt;=600,F23=TRUE)</f>
        <v>1</v>
      </c>
      <c r="R23" s="9">
        <f t="shared" si="8"/>
        <v>41500</v>
      </c>
      <c r="S23" s="9">
        <f t="shared" si="8"/>
        <v>43990</v>
      </c>
      <c r="T23" s="9">
        <f t="shared" si="8"/>
        <v>53950</v>
      </c>
      <c r="U23" s="9">
        <f t="shared" si="8"/>
        <v>66400</v>
      </c>
      <c r="V23" s="9">
        <f t="shared" si="8"/>
        <v>44820</v>
      </c>
      <c r="W23" s="9">
        <f t="shared" si="8"/>
        <v>24070</v>
      </c>
      <c r="X23" s="9">
        <f t="shared" si="8"/>
        <v>17430</v>
      </c>
      <c r="Y23" s="9">
        <f t="shared" si="8"/>
        <v>28427.5</v>
      </c>
      <c r="Z23" s="9">
        <f t="shared" si="8"/>
        <v>78850</v>
      </c>
      <c r="AA23" s="9">
        <f t="shared" si="8"/>
        <v>33200</v>
      </c>
    </row>
    <row r="24" spans="2:27" x14ac:dyDescent="0.2">
      <c r="B24" s="10" t="s">
        <v>28</v>
      </c>
      <c r="C24" s="11" t="s">
        <v>36</v>
      </c>
      <c r="D24" s="12" t="s">
        <v>30</v>
      </c>
      <c r="E24" s="12"/>
      <c r="F24" s="12" t="b">
        <v>0</v>
      </c>
      <c r="G24" s="9">
        <v>100</v>
      </c>
      <c r="H24" s="9">
        <v>70</v>
      </c>
      <c r="I24" s="9">
        <v>60</v>
      </c>
      <c r="J24" s="9">
        <v>119</v>
      </c>
      <c r="K24" s="9">
        <v>98.33</v>
      </c>
      <c r="L24" s="9">
        <v>40</v>
      </c>
      <c r="M24" s="9">
        <v>60</v>
      </c>
      <c r="N24" s="9">
        <v>68.489999999999995</v>
      </c>
      <c r="O24" s="9">
        <v>105</v>
      </c>
      <c r="P24" s="9">
        <v>72</v>
      </c>
      <c r="Q24" s="12" t="b">
        <f>AND($D$3&gt;0,$D$3&lt;200,F24=TRUE)</f>
        <v>0</v>
      </c>
      <c r="R24" s="9">
        <f t="shared" ref="R24:AA24" si="9">IF($Q24=TRUE,G24*$D$3,0)</f>
        <v>0</v>
      </c>
      <c r="S24" s="9">
        <f t="shared" si="9"/>
        <v>0</v>
      </c>
      <c r="T24" s="9">
        <f t="shared" si="9"/>
        <v>0</v>
      </c>
      <c r="U24" s="9">
        <f t="shared" si="9"/>
        <v>0</v>
      </c>
      <c r="V24" s="9">
        <f t="shared" si="9"/>
        <v>0</v>
      </c>
      <c r="W24" s="9">
        <f t="shared" si="9"/>
        <v>0</v>
      </c>
      <c r="X24" s="9">
        <f t="shared" si="9"/>
        <v>0</v>
      </c>
      <c r="Y24" s="9">
        <f t="shared" si="9"/>
        <v>0</v>
      </c>
      <c r="Z24" s="9">
        <f t="shared" si="9"/>
        <v>0</v>
      </c>
      <c r="AA24" s="9">
        <f t="shared" si="9"/>
        <v>0</v>
      </c>
    </row>
    <row r="25" spans="2:27" x14ac:dyDescent="0.2">
      <c r="B25" s="10" t="s">
        <v>28</v>
      </c>
      <c r="C25" s="11" t="s">
        <v>36</v>
      </c>
      <c r="D25" s="12" t="s">
        <v>31</v>
      </c>
      <c r="E25" s="12"/>
      <c r="F25" s="12" t="b">
        <v>0</v>
      </c>
      <c r="G25" s="9">
        <v>90</v>
      </c>
      <c r="H25" s="9">
        <v>65</v>
      </c>
      <c r="I25" s="9">
        <v>54</v>
      </c>
      <c r="J25" s="9">
        <v>110</v>
      </c>
      <c r="K25" s="9">
        <v>97.98</v>
      </c>
      <c r="L25" s="9">
        <v>35</v>
      </c>
      <c r="M25" s="9">
        <v>55</v>
      </c>
      <c r="N25" s="9">
        <v>68.489999999999995</v>
      </c>
      <c r="O25" s="9">
        <v>100</v>
      </c>
      <c r="P25" s="9">
        <v>70</v>
      </c>
      <c r="Q25" s="12" t="b">
        <f>AND($D$3&gt;=200,$D$3&lt;500,F25=TRUE)</f>
        <v>0</v>
      </c>
      <c r="R25" s="9">
        <f t="shared" ref="R25:R26" si="10">IF($Q25=TRUE,G25*$D$3,0)</f>
        <v>0</v>
      </c>
      <c r="S25" s="9">
        <f t="shared" ref="S25:AA26" si="11">IF($Q25=TRUE,H25*$D$3,0)</f>
        <v>0</v>
      </c>
      <c r="T25" s="9">
        <f t="shared" si="11"/>
        <v>0</v>
      </c>
      <c r="U25" s="9">
        <f t="shared" si="11"/>
        <v>0</v>
      </c>
      <c r="V25" s="9">
        <f t="shared" si="11"/>
        <v>0</v>
      </c>
      <c r="W25" s="9">
        <f t="shared" si="11"/>
        <v>0</v>
      </c>
      <c r="X25" s="9">
        <f t="shared" si="11"/>
        <v>0</v>
      </c>
      <c r="Y25" s="9">
        <f t="shared" si="11"/>
        <v>0</v>
      </c>
      <c r="Z25" s="9">
        <f t="shared" si="11"/>
        <v>0</v>
      </c>
      <c r="AA25" s="9">
        <f t="shared" si="11"/>
        <v>0</v>
      </c>
    </row>
    <row r="26" spans="2:27" x14ac:dyDescent="0.2">
      <c r="B26" s="10" t="s">
        <v>28</v>
      </c>
      <c r="C26" s="11" t="s">
        <v>36</v>
      </c>
      <c r="D26" s="12" t="s">
        <v>32</v>
      </c>
      <c r="E26" s="12"/>
      <c r="F26" s="12" t="b">
        <v>0</v>
      </c>
      <c r="G26" s="9">
        <v>90</v>
      </c>
      <c r="H26" s="9">
        <v>60</v>
      </c>
      <c r="I26" s="9">
        <v>48</v>
      </c>
      <c r="J26" s="9">
        <v>100</v>
      </c>
      <c r="K26" s="9">
        <v>88.04</v>
      </c>
      <c r="L26" s="9">
        <v>30</v>
      </c>
      <c r="M26" s="9">
        <v>52</v>
      </c>
      <c r="N26" s="9">
        <v>68.489999999999995</v>
      </c>
      <c r="O26" s="9">
        <v>95</v>
      </c>
      <c r="P26" s="9">
        <v>67</v>
      </c>
      <c r="Q26" s="12" t="b">
        <f>AND($D$3&gt;=500,F26=TRUE)</f>
        <v>0</v>
      </c>
      <c r="R26" s="9">
        <f t="shared" si="10"/>
        <v>0</v>
      </c>
      <c r="S26" s="9">
        <f t="shared" si="11"/>
        <v>0</v>
      </c>
      <c r="T26" s="9">
        <f t="shared" si="11"/>
        <v>0</v>
      </c>
      <c r="U26" s="9">
        <f t="shared" si="11"/>
        <v>0</v>
      </c>
      <c r="V26" s="9">
        <f t="shared" si="11"/>
        <v>0</v>
      </c>
      <c r="W26" s="9">
        <f t="shared" si="11"/>
        <v>0</v>
      </c>
      <c r="X26" s="9">
        <f t="shared" si="11"/>
        <v>0</v>
      </c>
      <c r="Y26" s="9">
        <f t="shared" si="11"/>
        <v>0</v>
      </c>
      <c r="Z26" s="9">
        <f t="shared" si="11"/>
        <v>0</v>
      </c>
      <c r="AA26" s="9">
        <f t="shared" si="11"/>
        <v>0</v>
      </c>
    </row>
    <row r="27" spans="2:27" x14ac:dyDescent="0.2">
      <c r="B27" s="6" t="s">
        <v>23</v>
      </c>
      <c r="C27" s="7" t="s">
        <v>37</v>
      </c>
      <c r="D27" s="8" t="s">
        <v>25</v>
      </c>
      <c r="E27" s="8"/>
      <c r="F27" s="8" t="b">
        <v>1</v>
      </c>
      <c r="G27" s="9">
        <v>200</v>
      </c>
      <c r="H27" s="9">
        <v>104</v>
      </c>
      <c r="I27" s="9">
        <v>185</v>
      </c>
      <c r="J27" s="9">
        <v>125</v>
      </c>
      <c r="K27" s="9">
        <v>175</v>
      </c>
      <c r="L27" s="9">
        <v>40</v>
      </c>
      <c r="M27" s="9">
        <v>39</v>
      </c>
      <c r="N27" s="9">
        <v>221.39</v>
      </c>
      <c r="O27" s="9">
        <v>305</v>
      </c>
      <c r="P27" s="9">
        <v>147</v>
      </c>
      <c r="Q27" s="8" t="b">
        <f>AND($D$2&gt;0,$D$2&lt;200,F27=TRUE)</f>
        <v>1</v>
      </c>
      <c r="R27" s="9">
        <f>IF($Q27=TRUE,G27*$D$2,0)</f>
        <v>25000</v>
      </c>
      <c r="S27" s="9">
        <f t="shared" ref="S27:AA29" si="12">IF($Q27=TRUE,H27*$D$2,0)</f>
        <v>13000</v>
      </c>
      <c r="T27" s="9">
        <f t="shared" si="12"/>
        <v>23125</v>
      </c>
      <c r="U27" s="9">
        <f t="shared" si="12"/>
        <v>15625</v>
      </c>
      <c r="V27" s="9">
        <f t="shared" si="12"/>
        <v>21875</v>
      </c>
      <c r="W27" s="9">
        <f t="shared" si="12"/>
        <v>5000</v>
      </c>
      <c r="X27" s="9">
        <f t="shared" si="12"/>
        <v>4875</v>
      </c>
      <c r="Y27" s="9">
        <f t="shared" si="12"/>
        <v>27673.75</v>
      </c>
      <c r="Z27" s="9">
        <f t="shared" si="12"/>
        <v>38125</v>
      </c>
      <c r="AA27" s="9">
        <f t="shared" si="12"/>
        <v>18375</v>
      </c>
    </row>
    <row r="28" spans="2:27" x14ac:dyDescent="0.2">
      <c r="B28" s="6" t="s">
        <v>23</v>
      </c>
      <c r="C28" s="7" t="s">
        <v>37</v>
      </c>
      <c r="D28" s="8" t="s">
        <v>26</v>
      </c>
      <c r="E28" s="8"/>
      <c r="F28" s="8" t="b">
        <v>0</v>
      </c>
      <c r="G28" s="9">
        <v>200</v>
      </c>
      <c r="H28" s="9">
        <v>99</v>
      </c>
      <c r="I28" s="9">
        <v>180</v>
      </c>
      <c r="J28" s="9">
        <v>119</v>
      </c>
      <c r="K28" s="9">
        <v>170</v>
      </c>
      <c r="L28" s="9">
        <v>40</v>
      </c>
      <c r="M28" s="9">
        <v>35</v>
      </c>
      <c r="N28" s="9">
        <v>221.39</v>
      </c>
      <c r="O28" s="9">
        <v>290</v>
      </c>
      <c r="P28" s="9">
        <v>150</v>
      </c>
      <c r="Q28" s="8" t="b">
        <f>AND($D$2&gt;=200,$D$2&lt;600,F28=TRUE)</f>
        <v>0</v>
      </c>
      <c r="R28" s="9">
        <f>IF($Q28=TRUE,G28*$D$2,0)</f>
        <v>0</v>
      </c>
      <c r="S28" s="9">
        <f t="shared" si="12"/>
        <v>0</v>
      </c>
      <c r="T28" s="9">
        <f t="shared" si="12"/>
        <v>0</v>
      </c>
      <c r="U28" s="9">
        <f t="shared" si="12"/>
        <v>0</v>
      </c>
      <c r="V28" s="9">
        <f t="shared" si="12"/>
        <v>0</v>
      </c>
      <c r="W28" s="9">
        <f t="shared" si="12"/>
        <v>0</v>
      </c>
      <c r="X28" s="9">
        <f t="shared" si="12"/>
        <v>0</v>
      </c>
      <c r="Y28" s="9">
        <f t="shared" si="12"/>
        <v>0</v>
      </c>
      <c r="Z28" s="9">
        <f t="shared" si="12"/>
        <v>0</v>
      </c>
      <c r="AA28" s="9">
        <f t="shared" si="12"/>
        <v>0</v>
      </c>
    </row>
    <row r="29" spans="2:27" x14ac:dyDescent="0.2">
      <c r="B29" s="6" t="s">
        <v>23</v>
      </c>
      <c r="C29" s="7" t="s">
        <v>37</v>
      </c>
      <c r="D29" s="8" t="s">
        <v>27</v>
      </c>
      <c r="E29" s="8"/>
      <c r="F29" s="8" t="b">
        <v>0</v>
      </c>
      <c r="G29" s="9">
        <v>200</v>
      </c>
      <c r="H29" s="9">
        <v>94</v>
      </c>
      <c r="I29" s="9">
        <v>170</v>
      </c>
      <c r="J29" s="9">
        <v>113</v>
      </c>
      <c r="K29" s="9">
        <v>165</v>
      </c>
      <c r="L29" s="9">
        <v>35</v>
      </c>
      <c r="M29" s="9">
        <v>32</v>
      </c>
      <c r="N29" s="9">
        <v>221.39</v>
      </c>
      <c r="O29" s="9">
        <v>280</v>
      </c>
      <c r="P29" s="9">
        <v>157</v>
      </c>
      <c r="Q29" s="8" t="b">
        <f>AND($D$2&gt;=600,F29=TRUE)</f>
        <v>0</v>
      </c>
      <c r="R29" s="9">
        <f>IF($Q29=TRUE,G29*$D$2,0)</f>
        <v>0</v>
      </c>
      <c r="S29" s="9">
        <f t="shared" si="12"/>
        <v>0</v>
      </c>
      <c r="T29" s="9">
        <f t="shared" si="12"/>
        <v>0</v>
      </c>
      <c r="U29" s="9">
        <f t="shared" si="12"/>
        <v>0</v>
      </c>
      <c r="V29" s="9">
        <f t="shared" si="12"/>
        <v>0</v>
      </c>
      <c r="W29" s="9">
        <f t="shared" si="12"/>
        <v>0</v>
      </c>
      <c r="X29" s="9">
        <f t="shared" si="12"/>
        <v>0</v>
      </c>
      <c r="Y29" s="9">
        <f t="shared" si="12"/>
        <v>0</v>
      </c>
      <c r="Z29" s="9">
        <f t="shared" si="12"/>
        <v>0</v>
      </c>
      <c r="AA29" s="9">
        <f t="shared" si="12"/>
        <v>0</v>
      </c>
    </row>
    <row r="30" spans="2:27" x14ac:dyDescent="0.2">
      <c r="B30" s="10" t="s">
        <v>28</v>
      </c>
      <c r="C30" s="11" t="s">
        <v>38</v>
      </c>
      <c r="D30" s="12" t="s">
        <v>30</v>
      </c>
      <c r="E30" s="12"/>
      <c r="F30" s="12" t="b">
        <v>0</v>
      </c>
      <c r="G30" s="9">
        <v>275</v>
      </c>
      <c r="H30" s="9">
        <v>260</v>
      </c>
      <c r="I30" s="9">
        <v>250</v>
      </c>
      <c r="J30" s="9">
        <v>275</v>
      </c>
      <c r="K30" s="9">
        <v>198</v>
      </c>
      <c r="L30" s="9">
        <v>50</v>
      </c>
      <c r="M30" s="9">
        <v>102</v>
      </c>
      <c r="N30" s="9">
        <v>306.54000000000002</v>
      </c>
      <c r="O30" s="9">
        <v>305</v>
      </c>
      <c r="P30" s="9">
        <v>285</v>
      </c>
      <c r="Q30" s="12" t="b">
        <f>AND($D$4&gt;0,$D$4&lt;200,F30=TRUE)</f>
        <v>0</v>
      </c>
      <c r="R30" s="9">
        <f>IF($Q30=TRUE,G30*$D$4,0)</f>
        <v>0</v>
      </c>
      <c r="S30" s="9">
        <f t="shared" ref="S30:AA32" si="13">IF($Q30=TRUE,H30*$D$4,0)</f>
        <v>0</v>
      </c>
      <c r="T30" s="9">
        <f t="shared" si="13"/>
        <v>0</v>
      </c>
      <c r="U30" s="9">
        <f t="shared" si="13"/>
        <v>0</v>
      </c>
      <c r="V30" s="9">
        <f t="shared" si="13"/>
        <v>0</v>
      </c>
      <c r="W30" s="9">
        <f t="shared" si="13"/>
        <v>0</v>
      </c>
      <c r="X30" s="9">
        <f t="shared" si="13"/>
        <v>0</v>
      </c>
      <c r="Y30" s="9">
        <f t="shared" si="13"/>
        <v>0</v>
      </c>
      <c r="Z30" s="9">
        <f t="shared" si="13"/>
        <v>0</v>
      </c>
      <c r="AA30" s="9">
        <f t="shared" si="13"/>
        <v>0</v>
      </c>
    </row>
    <row r="31" spans="2:27" x14ac:dyDescent="0.2">
      <c r="B31" s="10" t="s">
        <v>28</v>
      </c>
      <c r="C31" s="11" t="s">
        <v>38</v>
      </c>
      <c r="D31" s="12" t="s">
        <v>31</v>
      </c>
      <c r="E31" s="12"/>
      <c r="F31" s="12" t="b">
        <v>0</v>
      </c>
      <c r="G31" s="9">
        <v>250</v>
      </c>
      <c r="H31" s="9">
        <v>245</v>
      </c>
      <c r="I31" s="9">
        <v>230</v>
      </c>
      <c r="J31" s="9">
        <v>263</v>
      </c>
      <c r="K31" s="9">
        <v>198</v>
      </c>
      <c r="L31" s="9">
        <v>45</v>
      </c>
      <c r="M31" s="9">
        <v>94</v>
      </c>
      <c r="N31" s="9">
        <v>306.54000000000002</v>
      </c>
      <c r="O31" s="9">
        <v>295</v>
      </c>
      <c r="P31" s="9">
        <v>257</v>
      </c>
      <c r="Q31" s="12" t="b">
        <f>AND($D$4&gt;=200,$D$4&lt;500,F31=TRUE)</f>
        <v>0</v>
      </c>
      <c r="R31" s="9">
        <f>IF($Q31=TRUE,G31*$D$4,0)</f>
        <v>0</v>
      </c>
      <c r="S31" s="9">
        <f t="shared" si="13"/>
        <v>0</v>
      </c>
      <c r="T31" s="9">
        <f t="shared" si="13"/>
        <v>0</v>
      </c>
      <c r="U31" s="9">
        <f t="shared" si="13"/>
        <v>0</v>
      </c>
      <c r="V31" s="9">
        <f t="shared" si="13"/>
        <v>0</v>
      </c>
      <c r="W31" s="9">
        <f t="shared" si="13"/>
        <v>0</v>
      </c>
      <c r="X31" s="9">
        <f t="shared" si="13"/>
        <v>0</v>
      </c>
      <c r="Y31" s="9">
        <f t="shared" si="13"/>
        <v>0</v>
      </c>
      <c r="Z31" s="9">
        <f t="shared" si="13"/>
        <v>0</v>
      </c>
      <c r="AA31" s="9">
        <f t="shared" si="13"/>
        <v>0</v>
      </c>
    </row>
    <row r="32" spans="2:27" x14ac:dyDescent="0.2">
      <c r="B32" s="10" t="s">
        <v>28</v>
      </c>
      <c r="C32" s="11" t="s">
        <v>38</v>
      </c>
      <c r="D32" s="12" t="s">
        <v>32</v>
      </c>
      <c r="E32" s="12"/>
      <c r="F32" s="12" t="b">
        <v>0</v>
      </c>
      <c r="G32" s="9">
        <v>200</v>
      </c>
      <c r="H32" s="9">
        <v>235</v>
      </c>
      <c r="I32" s="9">
        <v>220</v>
      </c>
      <c r="J32" s="9">
        <v>238</v>
      </c>
      <c r="K32" s="9">
        <v>179</v>
      </c>
      <c r="L32" s="9">
        <v>40</v>
      </c>
      <c r="M32" s="9">
        <v>81.5</v>
      </c>
      <c r="N32" s="9">
        <v>306.54000000000002</v>
      </c>
      <c r="O32" s="9">
        <v>285</v>
      </c>
      <c r="P32" s="9">
        <v>237</v>
      </c>
      <c r="Q32" s="12" t="b">
        <f>AND($D$4&gt;=500,F32=TRUE)</f>
        <v>0</v>
      </c>
      <c r="R32" s="9">
        <f>IF($Q32=TRUE,G32*$D$4,0)</f>
        <v>0</v>
      </c>
      <c r="S32" s="9">
        <f t="shared" si="13"/>
        <v>0</v>
      </c>
      <c r="T32" s="9">
        <f t="shared" si="13"/>
        <v>0</v>
      </c>
      <c r="U32" s="9">
        <f t="shared" si="13"/>
        <v>0</v>
      </c>
      <c r="V32" s="9">
        <f t="shared" si="13"/>
        <v>0</v>
      </c>
      <c r="W32" s="9">
        <f t="shared" si="13"/>
        <v>0</v>
      </c>
      <c r="X32" s="9">
        <f t="shared" si="13"/>
        <v>0</v>
      </c>
      <c r="Y32" s="9">
        <f t="shared" si="13"/>
        <v>0</v>
      </c>
      <c r="Z32" s="9">
        <f t="shared" si="13"/>
        <v>0</v>
      </c>
      <c r="AA32" s="9">
        <f t="shared" si="13"/>
        <v>0</v>
      </c>
    </row>
    <row r="33" spans="2:27" x14ac:dyDescent="0.2">
      <c r="B33" s="6" t="s">
        <v>23</v>
      </c>
      <c r="C33" s="7" t="s">
        <v>39</v>
      </c>
      <c r="D33" s="8" t="s">
        <v>25</v>
      </c>
      <c r="E33" s="8"/>
      <c r="F33" s="8" t="b">
        <v>1</v>
      </c>
      <c r="G33" s="9">
        <v>25</v>
      </c>
      <c r="H33" s="9">
        <v>10.5</v>
      </c>
      <c r="I33" s="9">
        <v>50</v>
      </c>
      <c r="J33" s="9">
        <v>48</v>
      </c>
      <c r="K33" s="9">
        <v>20</v>
      </c>
      <c r="L33" s="9">
        <v>25</v>
      </c>
      <c r="M33" s="9">
        <v>6.5</v>
      </c>
      <c r="N33" s="9">
        <v>73.8</v>
      </c>
      <c r="O33" s="9">
        <v>60</v>
      </c>
      <c r="P33" s="9">
        <v>35</v>
      </c>
      <c r="Q33" s="8" t="b">
        <f>AND($D$2&gt;0,$D$2&lt;200,F33=TRUE)</f>
        <v>1</v>
      </c>
      <c r="R33" s="9">
        <f>IF($Q33=TRUE,G33*$D$2*($D$5-5),0)</f>
        <v>3125</v>
      </c>
      <c r="S33" s="9">
        <f t="shared" ref="S33:AA35" si="14">IF($Q33=TRUE,H33*$D$2*($D$5-5),0)</f>
        <v>1312.5</v>
      </c>
      <c r="T33" s="9">
        <f t="shared" si="14"/>
        <v>6250</v>
      </c>
      <c r="U33" s="9">
        <f t="shared" si="14"/>
        <v>6000</v>
      </c>
      <c r="V33" s="9">
        <f t="shared" si="14"/>
        <v>2500</v>
      </c>
      <c r="W33" s="9">
        <f t="shared" si="14"/>
        <v>3125</v>
      </c>
      <c r="X33" s="9">
        <f t="shared" si="14"/>
        <v>812.5</v>
      </c>
      <c r="Y33" s="9">
        <f t="shared" si="14"/>
        <v>9225</v>
      </c>
      <c r="Z33" s="9">
        <f t="shared" si="14"/>
        <v>7500</v>
      </c>
      <c r="AA33" s="9">
        <f t="shared" si="14"/>
        <v>4375</v>
      </c>
    </row>
    <row r="34" spans="2:27" x14ac:dyDescent="0.2">
      <c r="B34" s="6" t="s">
        <v>23</v>
      </c>
      <c r="C34" s="7" t="s">
        <v>39</v>
      </c>
      <c r="D34" s="8" t="s">
        <v>26</v>
      </c>
      <c r="E34" s="8"/>
      <c r="F34" s="8" t="b">
        <v>0</v>
      </c>
      <c r="G34" s="9">
        <v>25</v>
      </c>
      <c r="H34" s="9">
        <v>10</v>
      </c>
      <c r="I34" s="9">
        <v>40</v>
      </c>
      <c r="J34" s="9">
        <v>45</v>
      </c>
      <c r="K34" s="9">
        <v>20</v>
      </c>
      <c r="L34" s="9">
        <v>20</v>
      </c>
      <c r="M34" s="9">
        <v>6</v>
      </c>
      <c r="N34" s="9">
        <v>73.8</v>
      </c>
      <c r="O34" s="9">
        <v>55</v>
      </c>
      <c r="P34" s="9">
        <v>35</v>
      </c>
      <c r="Q34" s="8" t="b">
        <f>AND($D$2&gt;=200,$D$2&lt;600,F34=TRUE)</f>
        <v>0</v>
      </c>
      <c r="R34" s="9">
        <f>IF($Q34=TRUE,G34*$D$2*($D$5-5),0)</f>
        <v>0</v>
      </c>
      <c r="S34" s="9">
        <f t="shared" si="14"/>
        <v>0</v>
      </c>
      <c r="T34" s="9">
        <f t="shared" si="14"/>
        <v>0</v>
      </c>
      <c r="U34" s="9">
        <f t="shared" si="14"/>
        <v>0</v>
      </c>
      <c r="V34" s="9">
        <f t="shared" si="14"/>
        <v>0</v>
      </c>
      <c r="W34" s="9">
        <f t="shared" si="14"/>
        <v>0</v>
      </c>
      <c r="X34" s="9">
        <f t="shared" si="14"/>
        <v>0</v>
      </c>
      <c r="Y34" s="9">
        <f t="shared" si="14"/>
        <v>0</v>
      </c>
      <c r="Z34" s="9">
        <f t="shared" si="14"/>
        <v>0</v>
      </c>
      <c r="AA34" s="9">
        <f t="shared" si="14"/>
        <v>0</v>
      </c>
    </row>
    <row r="35" spans="2:27" x14ac:dyDescent="0.2">
      <c r="B35" s="6" t="s">
        <v>23</v>
      </c>
      <c r="C35" s="7" t="s">
        <v>39</v>
      </c>
      <c r="D35" s="8" t="s">
        <v>27</v>
      </c>
      <c r="E35" s="8"/>
      <c r="F35" s="8" t="b">
        <v>0</v>
      </c>
      <c r="G35" s="9">
        <v>25</v>
      </c>
      <c r="H35" s="9">
        <v>9</v>
      </c>
      <c r="I35" s="9">
        <v>35</v>
      </c>
      <c r="J35" s="9">
        <v>38</v>
      </c>
      <c r="K35" s="9">
        <v>20</v>
      </c>
      <c r="L35" s="9">
        <v>20</v>
      </c>
      <c r="M35" s="9">
        <v>5</v>
      </c>
      <c r="N35" s="9">
        <v>73.8</v>
      </c>
      <c r="O35" s="9">
        <v>50</v>
      </c>
      <c r="P35" s="9">
        <v>35</v>
      </c>
      <c r="Q35" s="8" t="b">
        <f>AND($D$2&gt;=600,F35=TRUE)</f>
        <v>0</v>
      </c>
      <c r="R35" s="9">
        <f>IF($Q35=TRUE,G35*$D$2*($D$5-5),0)</f>
        <v>0</v>
      </c>
      <c r="S35" s="9">
        <f t="shared" si="14"/>
        <v>0</v>
      </c>
      <c r="T35" s="9">
        <f t="shared" si="14"/>
        <v>0</v>
      </c>
      <c r="U35" s="9">
        <f t="shared" si="14"/>
        <v>0</v>
      </c>
      <c r="V35" s="9">
        <f t="shared" si="14"/>
        <v>0</v>
      </c>
      <c r="W35" s="9">
        <f t="shared" si="14"/>
        <v>0</v>
      </c>
      <c r="X35" s="9">
        <f t="shared" si="14"/>
        <v>0</v>
      </c>
      <c r="Y35" s="9">
        <f t="shared" si="14"/>
        <v>0</v>
      </c>
      <c r="Z35" s="9">
        <f t="shared" si="14"/>
        <v>0</v>
      </c>
      <c r="AA35" s="9">
        <f t="shared" si="14"/>
        <v>0</v>
      </c>
    </row>
    <row r="36" spans="2:27" x14ac:dyDescent="0.2">
      <c r="B36" s="10" t="s">
        <v>28</v>
      </c>
      <c r="C36" s="11" t="s">
        <v>40</v>
      </c>
      <c r="D36" s="12" t="s">
        <v>30</v>
      </c>
      <c r="E36" s="12"/>
      <c r="F36" s="12" t="b">
        <v>0</v>
      </c>
      <c r="G36" s="9">
        <v>60</v>
      </c>
      <c r="H36" s="9">
        <v>26</v>
      </c>
      <c r="I36" s="9">
        <v>65</v>
      </c>
      <c r="J36" s="9">
        <v>74</v>
      </c>
      <c r="K36" s="9">
        <v>20</v>
      </c>
      <c r="L36" s="9">
        <v>20</v>
      </c>
      <c r="M36" s="9">
        <v>18.5</v>
      </c>
      <c r="N36" s="9">
        <v>102.18</v>
      </c>
      <c r="O36" s="9">
        <v>60</v>
      </c>
      <c r="P36" s="9">
        <v>55</v>
      </c>
      <c r="Q36" s="12" t="b">
        <f>AND($D$4&gt;0,$D$4&lt;200,F36=TRUE)</f>
        <v>0</v>
      </c>
      <c r="R36" s="9">
        <f>IF($Q36=TRUE,G36*$D$4*($D$6-5),0)</f>
        <v>0</v>
      </c>
      <c r="S36" s="9">
        <f t="shared" ref="S36:AA38" si="15">IF($Q36=TRUE,H36*$D$4*($D$6-5),0)</f>
        <v>0</v>
      </c>
      <c r="T36" s="9">
        <f t="shared" si="15"/>
        <v>0</v>
      </c>
      <c r="U36" s="9">
        <f t="shared" si="15"/>
        <v>0</v>
      </c>
      <c r="V36" s="9">
        <f t="shared" si="15"/>
        <v>0</v>
      </c>
      <c r="W36" s="9">
        <f t="shared" si="15"/>
        <v>0</v>
      </c>
      <c r="X36" s="9">
        <f t="shared" si="15"/>
        <v>0</v>
      </c>
      <c r="Y36" s="9">
        <f t="shared" si="15"/>
        <v>0</v>
      </c>
      <c r="Z36" s="9">
        <f t="shared" si="15"/>
        <v>0</v>
      </c>
      <c r="AA36" s="9">
        <f t="shared" si="15"/>
        <v>0</v>
      </c>
    </row>
    <row r="37" spans="2:27" x14ac:dyDescent="0.2">
      <c r="B37" s="10" t="s">
        <v>28</v>
      </c>
      <c r="C37" s="11" t="s">
        <v>40</v>
      </c>
      <c r="D37" s="12" t="s">
        <v>31</v>
      </c>
      <c r="E37" s="12"/>
      <c r="F37" s="12" t="b">
        <v>0</v>
      </c>
      <c r="G37" s="9">
        <v>50</v>
      </c>
      <c r="H37" s="9">
        <v>25</v>
      </c>
      <c r="I37" s="9">
        <v>60</v>
      </c>
      <c r="J37" s="9">
        <v>71</v>
      </c>
      <c r="K37" s="9">
        <v>20</v>
      </c>
      <c r="L37" s="9">
        <v>20</v>
      </c>
      <c r="M37" s="9">
        <v>16</v>
      </c>
      <c r="N37" s="9">
        <v>102.18</v>
      </c>
      <c r="O37" s="9">
        <v>55</v>
      </c>
      <c r="P37" s="9">
        <v>51</v>
      </c>
      <c r="Q37" s="12" t="b">
        <f>AND($D$4&gt;=200,$D$4&lt;500,F37=TRUE)</f>
        <v>0</v>
      </c>
      <c r="R37" s="9">
        <f>IF($Q37=TRUE,G37*$D$4*($D$6-5),0)</f>
        <v>0</v>
      </c>
      <c r="S37" s="9">
        <f t="shared" si="15"/>
        <v>0</v>
      </c>
      <c r="T37" s="9">
        <f t="shared" si="15"/>
        <v>0</v>
      </c>
      <c r="U37" s="9">
        <f t="shared" si="15"/>
        <v>0</v>
      </c>
      <c r="V37" s="9">
        <f t="shared" si="15"/>
        <v>0</v>
      </c>
      <c r="W37" s="9">
        <f t="shared" si="15"/>
        <v>0</v>
      </c>
      <c r="X37" s="9">
        <f t="shared" si="15"/>
        <v>0</v>
      </c>
      <c r="Y37" s="9">
        <f t="shared" si="15"/>
        <v>0</v>
      </c>
      <c r="Z37" s="9">
        <f t="shared" si="15"/>
        <v>0</v>
      </c>
      <c r="AA37" s="9">
        <f t="shared" si="15"/>
        <v>0</v>
      </c>
    </row>
    <row r="38" spans="2:27" x14ac:dyDescent="0.2">
      <c r="B38" s="10" t="s">
        <v>28</v>
      </c>
      <c r="C38" s="11" t="s">
        <v>40</v>
      </c>
      <c r="D38" s="12" t="s">
        <v>32</v>
      </c>
      <c r="E38" s="12"/>
      <c r="F38" s="12" t="b">
        <v>0</v>
      </c>
      <c r="G38" s="9">
        <v>40</v>
      </c>
      <c r="H38" s="9">
        <v>23.5</v>
      </c>
      <c r="I38" s="9">
        <v>55</v>
      </c>
      <c r="J38" s="9">
        <v>69</v>
      </c>
      <c r="K38" s="9">
        <v>18</v>
      </c>
      <c r="L38" s="9">
        <v>20</v>
      </c>
      <c r="M38" s="9">
        <v>13.5</v>
      </c>
      <c r="N38" s="9">
        <v>102.18</v>
      </c>
      <c r="O38" s="9">
        <v>50</v>
      </c>
      <c r="P38" s="9">
        <v>47</v>
      </c>
      <c r="Q38" s="12" t="b">
        <f>AND($D$4&gt;=500,F38=TRUE)</f>
        <v>0</v>
      </c>
      <c r="R38" s="9">
        <f>IF($Q38=TRUE,G38*$D$4*($D$6-5),0)</f>
        <v>0</v>
      </c>
      <c r="S38" s="9">
        <f t="shared" si="15"/>
        <v>0</v>
      </c>
      <c r="T38" s="9">
        <f t="shared" si="15"/>
        <v>0</v>
      </c>
      <c r="U38" s="9">
        <f t="shared" si="15"/>
        <v>0</v>
      </c>
      <c r="V38" s="9">
        <f t="shared" si="15"/>
        <v>0</v>
      </c>
      <c r="W38" s="9">
        <f t="shared" si="15"/>
        <v>0</v>
      </c>
      <c r="X38" s="9">
        <f t="shared" si="15"/>
        <v>0</v>
      </c>
      <c r="Y38" s="9">
        <f t="shared" si="15"/>
        <v>0</v>
      </c>
      <c r="Z38" s="9">
        <f t="shared" si="15"/>
        <v>0</v>
      </c>
      <c r="AA38" s="9">
        <f t="shared" si="15"/>
        <v>0</v>
      </c>
    </row>
    <row r="39" spans="2:27" x14ac:dyDescent="0.2">
      <c r="B39" s="6" t="s">
        <v>23</v>
      </c>
      <c r="C39" s="7" t="s">
        <v>41</v>
      </c>
      <c r="D39" s="8" t="s">
        <v>25</v>
      </c>
      <c r="E39" s="8"/>
      <c r="F39" s="8" t="b">
        <v>1</v>
      </c>
      <c r="G39" s="9">
        <v>75</v>
      </c>
      <c r="H39" s="9">
        <v>47</v>
      </c>
      <c r="I39" s="9">
        <v>95</v>
      </c>
      <c r="J39" s="9">
        <v>56</v>
      </c>
      <c r="K39" s="9">
        <v>94.28</v>
      </c>
      <c r="L39" s="9">
        <v>50</v>
      </c>
      <c r="M39" s="9">
        <v>62</v>
      </c>
      <c r="N39" s="9">
        <v>51.23</v>
      </c>
      <c r="O39" s="9">
        <v>105</v>
      </c>
      <c r="P39" s="9">
        <v>97</v>
      </c>
      <c r="Q39" s="8" t="b">
        <f>AND($D$2&gt;0,$D$2&lt;200,F39=TRUE)</f>
        <v>1</v>
      </c>
      <c r="R39" s="9">
        <f>IF($Q39=TRUE,G39*$D$2,0)</f>
        <v>9375</v>
      </c>
      <c r="S39" s="9">
        <f t="shared" ref="S39:AA41" si="16">IF($Q39=TRUE,H39*$D$2,0)</f>
        <v>5875</v>
      </c>
      <c r="T39" s="9">
        <f t="shared" si="16"/>
        <v>11875</v>
      </c>
      <c r="U39" s="9">
        <f t="shared" si="16"/>
        <v>7000</v>
      </c>
      <c r="V39" s="9">
        <f t="shared" si="16"/>
        <v>11785</v>
      </c>
      <c r="W39" s="9">
        <f t="shared" si="16"/>
        <v>6250</v>
      </c>
      <c r="X39" s="9">
        <f t="shared" si="16"/>
        <v>7750</v>
      </c>
      <c r="Y39" s="9">
        <f t="shared" si="16"/>
        <v>6403.75</v>
      </c>
      <c r="Z39" s="9">
        <f t="shared" si="16"/>
        <v>13125</v>
      </c>
      <c r="AA39" s="9">
        <f t="shared" si="16"/>
        <v>12125</v>
      </c>
    </row>
    <row r="40" spans="2:27" x14ac:dyDescent="0.2">
      <c r="B40" s="6" t="s">
        <v>23</v>
      </c>
      <c r="C40" s="7" t="s">
        <v>41</v>
      </c>
      <c r="D40" s="8" t="s">
        <v>26</v>
      </c>
      <c r="E40" s="8"/>
      <c r="F40" s="8" t="b">
        <v>0</v>
      </c>
      <c r="G40" s="9">
        <v>75</v>
      </c>
      <c r="H40" s="9">
        <v>45</v>
      </c>
      <c r="I40" s="9">
        <v>90</v>
      </c>
      <c r="J40" s="9">
        <v>54</v>
      </c>
      <c r="K40" s="9">
        <v>94.28</v>
      </c>
      <c r="L40" s="9">
        <v>40</v>
      </c>
      <c r="M40" s="9">
        <v>53</v>
      </c>
      <c r="N40" s="9">
        <v>51.23</v>
      </c>
      <c r="O40" s="9">
        <v>100</v>
      </c>
      <c r="P40" s="9">
        <v>87</v>
      </c>
      <c r="Q40" s="8" t="b">
        <f>AND($D$2&gt;=200,$D$2&lt;600,F40=TRUE)</f>
        <v>0</v>
      </c>
      <c r="R40" s="9">
        <f>IF($Q40=TRUE,G40*$D$2,0)</f>
        <v>0</v>
      </c>
      <c r="S40" s="9">
        <f t="shared" si="16"/>
        <v>0</v>
      </c>
      <c r="T40" s="9">
        <f t="shared" si="16"/>
        <v>0</v>
      </c>
      <c r="U40" s="9">
        <f t="shared" si="16"/>
        <v>0</v>
      </c>
      <c r="V40" s="9">
        <f t="shared" si="16"/>
        <v>0</v>
      </c>
      <c r="W40" s="9">
        <f t="shared" si="16"/>
        <v>0</v>
      </c>
      <c r="X40" s="9">
        <f t="shared" si="16"/>
        <v>0</v>
      </c>
      <c r="Y40" s="9">
        <f t="shared" si="16"/>
        <v>0</v>
      </c>
      <c r="Z40" s="9">
        <f t="shared" si="16"/>
        <v>0</v>
      </c>
      <c r="AA40" s="9">
        <f t="shared" si="16"/>
        <v>0</v>
      </c>
    </row>
    <row r="41" spans="2:27" x14ac:dyDescent="0.2">
      <c r="B41" s="6" t="s">
        <v>23</v>
      </c>
      <c r="C41" s="7" t="s">
        <v>41</v>
      </c>
      <c r="D41" s="8" t="s">
        <v>27</v>
      </c>
      <c r="E41" s="8"/>
      <c r="F41" s="8" t="b">
        <v>0</v>
      </c>
      <c r="G41" s="9">
        <v>75</v>
      </c>
      <c r="H41" s="9">
        <v>42.5</v>
      </c>
      <c r="I41" s="9">
        <v>80</v>
      </c>
      <c r="J41" s="9">
        <v>50</v>
      </c>
      <c r="K41" s="9">
        <v>94.28</v>
      </c>
      <c r="L41" s="9">
        <v>35</v>
      </c>
      <c r="M41" s="9">
        <v>48</v>
      </c>
      <c r="N41" s="9">
        <v>51.23</v>
      </c>
      <c r="O41" s="9">
        <v>95</v>
      </c>
      <c r="P41" s="9">
        <v>81</v>
      </c>
      <c r="Q41" s="8" t="b">
        <f>AND($D$2&gt;=600,F41=TRUE)</f>
        <v>0</v>
      </c>
      <c r="R41" s="9">
        <f>IF($Q41=TRUE,G41*$D$2,0)</f>
        <v>0</v>
      </c>
      <c r="S41" s="9">
        <f t="shared" si="16"/>
        <v>0</v>
      </c>
      <c r="T41" s="9">
        <f t="shared" si="16"/>
        <v>0</v>
      </c>
      <c r="U41" s="9">
        <f t="shared" si="16"/>
        <v>0</v>
      </c>
      <c r="V41" s="9">
        <f t="shared" si="16"/>
        <v>0</v>
      </c>
      <c r="W41" s="9">
        <f t="shared" si="16"/>
        <v>0</v>
      </c>
      <c r="X41" s="9">
        <f t="shared" si="16"/>
        <v>0</v>
      </c>
      <c r="Y41" s="9">
        <f t="shared" si="16"/>
        <v>0</v>
      </c>
      <c r="Z41" s="9">
        <f t="shared" si="16"/>
        <v>0</v>
      </c>
      <c r="AA41" s="9">
        <f t="shared" si="16"/>
        <v>0</v>
      </c>
    </row>
    <row r="42" spans="2:27" x14ac:dyDescent="0.2">
      <c r="B42" s="10" t="s">
        <v>28</v>
      </c>
      <c r="C42" s="11" t="s">
        <v>42</v>
      </c>
      <c r="D42" s="12" t="s">
        <v>30</v>
      </c>
      <c r="E42" s="12"/>
      <c r="F42" s="12" t="b">
        <v>0</v>
      </c>
      <c r="G42" s="9">
        <v>150</v>
      </c>
      <c r="H42" s="9">
        <v>94.5</v>
      </c>
      <c r="I42" s="9">
        <v>145</v>
      </c>
      <c r="J42" s="9">
        <v>106</v>
      </c>
      <c r="K42" s="9">
        <v>112.57</v>
      </c>
      <c r="L42" s="9">
        <v>60</v>
      </c>
      <c r="M42" s="9">
        <v>143</v>
      </c>
      <c r="N42" s="9">
        <v>89.18</v>
      </c>
      <c r="O42" s="9">
        <v>105</v>
      </c>
      <c r="P42" s="9">
        <v>177</v>
      </c>
      <c r="Q42" s="12" t="b">
        <f>AND($D$4&gt;0,$D$4&lt;200,F42=TRUE)</f>
        <v>0</v>
      </c>
      <c r="R42" s="9">
        <f>IF($Q42=TRUE,G42*$D$4,0)</f>
        <v>0</v>
      </c>
      <c r="S42" s="9">
        <f t="shared" ref="S42:AA44" si="17">IF($Q42=TRUE,H42*$D$4,0)</f>
        <v>0</v>
      </c>
      <c r="T42" s="9">
        <f t="shared" si="17"/>
        <v>0</v>
      </c>
      <c r="U42" s="9">
        <f t="shared" si="17"/>
        <v>0</v>
      </c>
      <c r="V42" s="9">
        <f t="shared" si="17"/>
        <v>0</v>
      </c>
      <c r="W42" s="9">
        <f t="shared" si="17"/>
        <v>0</v>
      </c>
      <c r="X42" s="9">
        <f t="shared" si="17"/>
        <v>0</v>
      </c>
      <c r="Y42" s="9">
        <f t="shared" si="17"/>
        <v>0</v>
      </c>
      <c r="Z42" s="9">
        <f t="shared" si="17"/>
        <v>0</v>
      </c>
      <c r="AA42" s="9">
        <f t="shared" si="17"/>
        <v>0</v>
      </c>
    </row>
    <row r="43" spans="2:27" x14ac:dyDescent="0.2">
      <c r="B43" s="10" t="s">
        <v>28</v>
      </c>
      <c r="C43" s="11" t="s">
        <v>42</v>
      </c>
      <c r="D43" s="12" t="s">
        <v>31</v>
      </c>
      <c r="E43" s="12"/>
      <c r="F43" s="12" t="b">
        <v>0</v>
      </c>
      <c r="G43" s="9">
        <v>150</v>
      </c>
      <c r="H43" s="9">
        <v>90</v>
      </c>
      <c r="I43" s="9">
        <v>140</v>
      </c>
      <c r="J43" s="9">
        <v>104</v>
      </c>
      <c r="K43" s="9">
        <v>139.87</v>
      </c>
      <c r="L43" s="9">
        <v>55</v>
      </c>
      <c r="M43" s="9">
        <v>131</v>
      </c>
      <c r="N43" s="9">
        <v>89.18</v>
      </c>
      <c r="O43" s="9">
        <v>100</v>
      </c>
      <c r="P43" s="9">
        <v>167</v>
      </c>
      <c r="Q43" s="12" t="b">
        <f>AND($D$4&gt;=200,$D$4&lt;500,F43=TRUE)</f>
        <v>0</v>
      </c>
      <c r="R43" s="9">
        <f>IF($Q43=TRUE,G43*$D$4,0)</f>
        <v>0</v>
      </c>
      <c r="S43" s="9">
        <f t="shared" si="17"/>
        <v>0</v>
      </c>
      <c r="T43" s="9">
        <f t="shared" si="17"/>
        <v>0</v>
      </c>
      <c r="U43" s="9">
        <f t="shared" si="17"/>
        <v>0</v>
      </c>
      <c r="V43" s="9">
        <f t="shared" si="17"/>
        <v>0</v>
      </c>
      <c r="W43" s="9">
        <f t="shared" si="17"/>
        <v>0</v>
      </c>
      <c r="X43" s="9">
        <f t="shared" si="17"/>
        <v>0</v>
      </c>
      <c r="Y43" s="9">
        <f t="shared" si="17"/>
        <v>0</v>
      </c>
      <c r="Z43" s="9">
        <f t="shared" si="17"/>
        <v>0</v>
      </c>
      <c r="AA43" s="9">
        <f t="shared" si="17"/>
        <v>0</v>
      </c>
    </row>
    <row r="44" spans="2:27" x14ac:dyDescent="0.2">
      <c r="B44" s="10" t="s">
        <v>28</v>
      </c>
      <c r="C44" s="11" t="s">
        <v>42</v>
      </c>
      <c r="D44" s="12" t="s">
        <v>32</v>
      </c>
      <c r="E44" s="12"/>
      <c r="F44" s="12" t="b">
        <v>0</v>
      </c>
      <c r="G44" s="9">
        <v>150</v>
      </c>
      <c r="H44" s="9">
        <v>85.5</v>
      </c>
      <c r="I44" s="9">
        <v>130</v>
      </c>
      <c r="J44" s="9">
        <v>100</v>
      </c>
      <c r="K44" s="9">
        <v>126.38</v>
      </c>
      <c r="L44" s="9">
        <v>50</v>
      </c>
      <c r="M44" s="9">
        <v>124</v>
      </c>
      <c r="N44" s="9">
        <v>89.18</v>
      </c>
      <c r="O44" s="9">
        <v>95</v>
      </c>
      <c r="P44" s="9">
        <v>161</v>
      </c>
      <c r="Q44" s="12" t="b">
        <f>AND($D$4&gt;=500,F44=TRUE)</f>
        <v>0</v>
      </c>
      <c r="R44" s="9">
        <f>IF($Q44=TRUE,G44*$D$4,0)</f>
        <v>0</v>
      </c>
      <c r="S44" s="9">
        <f t="shared" si="17"/>
        <v>0</v>
      </c>
      <c r="T44" s="9">
        <f t="shared" si="17"/>
        <v>0</v>
      </c>
      <c r="U44" s="9">
        <f t="shared" si="17"/>
        <v>0</v>
      </c>
      <c r="V44" s="9">
        <f t="shared" si="17"/>
        <v>0</v>
      </c>
      <c r="W44" s="9">
        <f t="shared" si="17"/>
        <v>0</v>
      </c>
      <c r="X44" s="9">
        <f t="shared" si="17"/>
        <v>0</v>
      </c>
      <c r="Y44" s="9">
        <f t="shared" si="17"/>
        <v>0</v>
      </c>
      <c r="Z44" s="9">
        <f t="shared" si="17"/>
        <v>0</v>
      </c>
      <c r="AA44" s="9">
        <f t="shared" si="17"/>
        <v>0</v>
      </c>
    </row>
    <row r="45" spans="2:27" x14ac:dyDescent="0.2">
      <c r="B45" s="6" t="s">
        <v>23</v>
      </c>
      <c r="C45" s="7" t="s">
        <v>43</v>
      </c>
      <c r="D45" s="8" t="s">
        <v>25</v>
      </c>
      <c r="E45" s="8"/>
      <c r="F45" s="8" t="b">
        <v>0</v>
      </c>
      <c r="G45" s="9">
        <v>50</v>
      </c>
      <c r="H45" s="9">
        <v>50</v>
      </c>
      <c r="I45" s="9">
        <v>50</v>
      </c>
      <c r="J45" s="9">
        <v>30</v>
      </c>
      <c r="K45" s="9">
        <v>25</v>
      </c>
      <c r="L45" s="9">
        <v>40</v>
      </c>
      <c r="M45" s="9">
        <v>50.5</v>
      </c>
      <c r="N45" s="9">
        <v>54.15</v>
      </c>
      <c r="O45" s="9">
        <v>15</v>
      </c>
      <c r="P45" s="9">
        <v>15</v>
      </c>
      <c r="Q45" s="8" t="b">
        <f>AND($D$1&gt;0,$D$1&lt;200,F45=TRUE)</f>
        <v>0</v>
      </c>
      <c r="R45" s="9">
        <f t="shared" ref="R45:AA47" si="18">IF($Q45=TRUE,G45*$D$1,0)</f>
        <v>0</v>
      </c>
      <c r="S45" s="9">
        <f t="shared" si="18"/>
        <v>0</v>
      </c>
      <c r="T45" s="9">
        <f t="shared" si="18"/>
        <v>0</v>
      </c>
      <c r="U45" s="9">
        <f t="shared" si="18"/>
        <v>0</v>
      </c>
      <c r="V45" s="9">
        <f t="shared" si="18"/>
        <v>0</v>
      </c>
      <c r="W45" s="9">
        <f t="shared" si="18"/>
        <v>0</v>
      </c>
      <c r="X45" s="9">
        <f t="shared" si="18"/>
        <v>0</v>
      </c>
      <c r="Y45" s="9">
        <f t="shared" si="18"/>
        <v>0</v>
      </c>
      <c r="Z45" s="9">
        <f t="shared" si="18"/>
        <v>0</v>
      </c>
      <c r="AA45" s="9">
        <f t="shared" si="18"/>
        <v>0</v>
      </c>
    </row>
    <row r="46" spans="2:27" x14ac:dyDescent="0.2">
      <c r="B46" s="6" t="s">
        <v>23</v>
      </c>
      <c r="C46" s="7" t="s">
        <v>43</v>
      </c>
      <c r="D46" s="8" t="s">
        <v>26</v>
      </c>
      <c r="E46" s="8"/>
      <c r="F46" s="8" t="b">
        <v>0</v>
      </c>
      <c r="G46" s="9">
        <v>40</v>
      </c>
      <c r="H46" s="9">
        <v>42</v>
      </c>
      <c r="I46" s="9">
        <v>45</v>
      </c>
      <c r="J46" s="9">
        <v>28</v>
      </c>
      <c r="K46" s="9">
        <v>25</v>
      </c>
      <c r="L46" s="9">
        <v>36</v>
      </c>
      <c r="M46" s="9">
        <v>40</v>
      </c>
      <c r="N46" s="9">
        <v>54.15</v>
      </c>
      <c r="O46" s="9">
        <v>15</v>
      </c>
      <c r="P46" s="9">
        <v>15</v>
      </c>
      <c r="Q46" s="8" t="b">
        <f>AND($D$1&gt;=200,$D$1&lt;600,F46=TRUE)</f>
        <v>0</v>
      </c>
      <c r="R46" s="9">
        <f t="shared" si="18"/>
        <v>0</v>
      </c>
      <c r="S46" s="9">
        <f t="shared" si="18"/>
        <v>0</v>
      </c>
      <c r="T46" s="9">
        <f t="shared" si="18"/>
        <v>0</v>
      </c>
      <c r="U46" s="9">
        <f t="shared" si="18"/>
        <v>0</v>
      </c>
      <c r="V46" s="9">
        <f t="shared" si="18"/>
        <v>0</v>
      </c>
      <c r="W46" s="9">
        <f t="shared" si="18"/>
        <v>0</v>
      </c>
      <c r="X46" s="9">
        <f t="shared" si="18"/>
        <v>0</v>
      </c>
      <c r="Y46" s="9">
        <f t="shared" si="18"/>
        <v>0</v>
      </c>
      <c r="Z46" s="9">
        <f t="shared" si="18"/>
        <v>0</v>
      </c>
      <c r="AA46" s="9">
        <f t="shared" si="18"/>
        <v>0</v>
      </c>
    </row>
    <row r="47" spans="2:27" x14ac:dyDescent="0.2">
      <c r="B47" s="6" t="s">
        <v>23</v>
      </c>
      <c r="C47" s="7" t="s">
        <v>43</v>
      </c>
      <c r="D47" s="8" t="s">
        <v>27</v>
      </c>
      <c r="E47" s="8"/>
      <c r="F47" s="8" t="b">
        <v>0</v>
      </c>
      <c r="G47" s="9">
        <v>40</v>
      </c>
      <c r="H47" s="9">
        <v>40</v>
      </c>
      <c r="I47" s="9">
        <v>40</v>
      </c>
      <c r="J47" s="9">
        <v>26</v>
      </c>
      <c r="K47" s="9">
        <v>25</v>
      </c>
      <c r="L47" s="9">
        <v>32</v>
      </c>
      <c r="M47" s="9">
        <v>35</v>
      </c>
      <c r="N47" s="9">
        <v>54.15</v>
      </c>
      <c r="O47" s="9">
        <v>15</v>
      </c>
      <c r="P47" s="9">
        <v>15</v>
      </c>
      <c r="Q47" s="8" t="b">
        <f>AND($D$1&gt;=600,F47=TRUE)</f>
        <v>0</v>
      </c>
      <c r="R47" s="9">
        <f t="shared" si="18"/>
        <v>0</v>
      </c>
      <c r="S47" s="9">
        <f t="shared" si="18"/>
        <v>0</v>
      </c>
      <c r="T47" s="9">
        <f t="shared" si="18"/>
        <v>0</v>
      </c>
      <c r="U47" s="9">
        <f t="shared" si="18"/>
        <v>0</v>
      </c>
      <c r="V47" s="9">
        <f t="shared" si="18"/>
        <v>0</v>
      </c>
      <c r="W47" s="9">
        <f t="shared" si="18"/>
        <v>0</v>
      </c>
      <c r="X47" s="9">
        <f t="shared" si="18"/>
        <v>0</v>
      </c>
      <c r="Y47" s="9">
        <f t="shared" si="18"/>
        <v>0</v>
      </c>
      <c r="Z47" s="9">
        <f t="shared" si="18"/>
        <v>0</v>
      </c>
      <c r="AA47" s="9">
        <f t="shared" si="18"/>
        <v>0</v>
      </c>
    </row>
    <row r="48" spans="2:27" x14ac:dyDescent="0.2">
      <c r="B48" s="10" t="s">
        <v>28</v>
      </c>
      <c r="C48" s="11" t="s">
        <v>44</v>
      </c>
      <c r="D48" s="12" t="s">
        <v>30</v>
      </c>
      <c r="E48" s="12"/>
      <c r="F48" s="12" t="b">
        <v>0</v>
      </c>
      <c r="G48" s="9">
        <v>60</v>
      </c>
      <c r="H48" s="9">
        <v>65</v>
      </c>
      <c r="I48" s="9">
        <v>75</v>
      </c>
      <c r="J48" s="9">
        <v>68</v>
      </c>
      <c r="K48" s="9">
        <v>25</v>
      </c>
      <c r="L48" s="9">
        <v>60</v>
      </c>
      <c r="M48" s="9">
        <v>66</v>
      </c>
      <c r="N48" s="9">
        <v>119.12</v>
      </c>
      <c r="O48" s="9">
        <v>15</v>
      </c>
      <c r="P48" s="9">
        <v>22</v>
      </c>
      <c r="Q48" s="12" t="b">
        <f>AND($D$3&gt;0,$D$3&lt;200,F48=TRUE)</f>
        <v>0</v>
      </c>
      <c r="R48" s="9">
        <f t="shared" ref="R48:AA48" si="19">IF($Q48=TRUE,G48*$D$3,0)</f>
        <v>0</v>
      </c>
      <c r="S48" s="9">
        <f t="shared" si="19"/>
        <v>0</v>
      </c>
      <c r="T48" s="9">
        <f t="shared" si="19"/>
        <v>0</v>
      </c>
      <c r="U48" s="9">
        <f t="shared" si="19"/>
        <v>0</v>
      </c>
      <c r="V48" s="9">
        <f t="shared" si="19"/>
        <v>0</v>
      </c>
      <c r="W48" s="9">
        <f t="shared" si="19"/>
        <v>0</v>
      </c>
      <c r="X48" s="9">
        <f t="shared" si="19"/>
        <v>0</v>
      </c>
      <c r="Y48" s="9">
        <f t="shared" si="19"/>
        <v>0</v>
      </c>
      <c r="Z48" s="9">
        <f t="shared" si="19"/>
        <v>0</v>
      </c>
      <c r="AA48" s="9">
        <f t="shared" si="19"/>
        <v>0</v>
      </c>
    </row>
    <row r="49" spans="2:27" x14ac:dyDescent="0.2">
      <c r="B49" s="10" t="s">
        <v>28</v>
      </c>
      <c r="C49" s="11" t="s">
        <v>44</v>
      </c>
      <c r="D49" s="12" t="s">
        <v>31</v>
      </c>
      <c r="E49" s="12"/>
      <c r="F49" s="12" t="b">
        <v>0</v>
      </c>
      <c r="G49" s="9">
        <v>60</v>
      </c>
      <c r="H49" s="9">
        <v>60</v>
      </c>
      <c r="I49" s="9">
        <v>70</v>
      </c>
      <c r="J49" s="9">
        <v>65</v>
      </c>
      <c r="K49" s="9">
        <v>25</v>
      </c>
      <c r="L49" s="9">
        <v>54</v>
      </c>
      <c r="M49" s="9">
        <v>59</v>
      </c>
      <c r="N49" s="9">
        <v>119.12</v>
      </c>
      <c r="O49" s="9">
        <v>15</v>
      </c>
      <c r="P49" s="9">
        <v>22</v>
      </c>
      <c r="Q49" s="12" t="b">
        <f>AND($D$3&gt;=200,$D$3&lt;500,F49=TRUE)</f>
        <v>0</v>
      </c>
      <c r="R49" s="9">
        <f t="shared" ref="R49:R50" si="20">IF($Q49=TRUE,G49*$D$3,0)</f>
        <v>0</v>
      </c>
      <c r="S49" s="9">
        <f t="shared" ref="S49:AA50" si="21">IF($Q49=TRUE,H49*$D$3,0)</f>
        <v>0</v>
      </c>
      <c r="T49" s="9">
        <f t="shared" si="21"/>
        <v>0</v>
      </c>
      <c r="U49" s="9">
        <f t="shared" si="21"/>
        <v>0</v>
      </c>
      <c r="V49" s="9">
        <f t="shared" si="21"/>
        <v>0</v>
      </c>
      <c r="W49" s="9">
        <f t="shared" si="21"/>
        <v>0</v>
      </c>
      <c r="X49" s="9">
        <f t="shared" si="21"/>
        <v>0</v>
      </c>
      <c r="Y49" s="9">
        <f t="shared" si="21"/>
        <v>0</v>
      </c>
      <c r="Z49" s="9">
        <f t="shared" si="21"/>
        <v>0</v>
      </c>
      <c r="AA49" s="9">
        <f t="shared" si="21"/>
        <v>0</v>
      </c>
    </row>
    <row r="50" spans="2:27" x14ac:dyDescent="0.2">
      <c r="B50" s="10" t="s">
        <v>28</v>
      </c>
      <c r="C50" s="11" t="s">
        <v>44</v>
      </c>
      <c r="D50" s="12" t="s">
        <v>32</v>
      </c>
      <c r="E50" s="12"/>
      <c r="F50" s="12" t="b">
        <v>0</v>
      </c>
      <c r="G50" s="9">
        <v>60</v>
      </c>
      <c r="H50" s="9">
        <v>55</v>
      </c>
      <c r="I50" s="9">
        <v>60</v>
      </c>
      <c r="J50" s="9">
        <v>61</v>
      </c>
      <c r="K50" s="9">
        <v>23</v>
      </c>
      <c r="L50" s="9">
        <v>48</v>
      </c>
      <c r="M50" s="9">
        <v>56</v>
      </c>
      <c r="N50" s="9">
        <v>119.12</v>
      </c>
      <c r="O50" s="9">
        <v>15</v>
      </c>
      <c r="P50" s="9">
        <v>22</v>
      </c>
      <c r="Q50" s="12" t="b">
        <f>AND($D$3&gt;=500,F50=TRUE)</f>
        <v>0</v>
      </c>
      <c r="R50" s="9">
        <f t="shared" si="20"/>
        <v>0</v>
      </c>
      <c r="S50" s="9">
        <f t="shared" si="21"/>
        <v>0</v>
      </c>
      <c r="T50" s="9">
        <f t="shared" si="21"/>
        <v>0</v>
      </c>
      <c r="U50" s="9">
        <f t="shared" si="21"/>
        <v>0</v>
      </c>
      <c r="V50" s="9">
        <f t="shared" si="21"/>
        <v>0</v>
      </c>
      <c r="W50" s="9">
        <f t="shared" si="21"/>
        <v>0</v>
      </c>
      <c r="X50" s="9">
        <f t="shared" si="21"/>
        <v>0</v>
      </c>
      <c r="Y50" s="9">
        <f t="shared" si="21"/>
        <v>0</v>
      </c>
      <c r="Z50" s="9">
        <f t="shared" si="21"/>
        <v>0</v>
      </c>
      <c r="AA50" s="9">
        <f t="shared" si="21"/>
        <v>0</v>
      </c>
    </row>
    <row r="51" spans="2:27" x14ac:dyDescent="0.2">
      <c r="B51" s="2"/>
      <c r="C51" s="11" t="s">
        <v>45</v>
      </c>
      <c r="D51" s="2"/>
      <c r="E51" s="2"/>
      <c r="F51" s="2" t="b">
        <v>0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spans="2:27" x14ac:dyDescent="0.2">
      <c r="B52" s="2"/>
      <c r="C52" s="11" t="s">
        <v>46</v>
      </c>
      <c r="D52" s="2"/>
      <c r="E52" s="2"/>
      <c r="F52" s="2" t="b">
        <v>0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spans="2:27" x14ac:dyDescent="0.2">
      <c r="B53" s="2"/>
      <c r="C53" s="11" t="s">
        <v>47</v>
      </c>
      <c r="D53" s="2"/>
      <c r="E53" s="2"/>
      <c r="F53" s="2" t="b">
        <v>0</v>
      </c>
      <c r="G53" s="2"/>
      <c r="H53" s="2"/>
      <c r="I53" s="2"/>
      <c r="J53" s="2"/>
      <c r="K53" s="2">
        <v>6000</v>
      </c>
      <c r="L53" s="2"/>
      <c r="M53" s="2">
        <v>7866</v>
      </c>
      <c r="N53" s="2">
        <v>7000</v>
      </c>
      <c r="O53" s="2"/>
      <c r="P53" s="2"/>
      <c r="Q53" s="2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spans="2:27" x14ac:dyDescent="0.2">
      <c r="B54" s="2"/>
      <c r="C54" s="11" t="s">
        <v>48</v>
      </c>
      <c r="D54" s="2"/>
      <c r="E54" s="2"/>
      <c r="F54" s="2" t="b">
        <v>0</v>
      </c>
      <c r="G54" s="2"/>
      <c r="H54" s="2"/>
      <c r="I54" s="2"/>
      <c r="J54" s="2"/>
      <c r="K54" s="2">
        <v>15000</v>
      </c>
      <c r="L54" s="2"/>
      <c r="M54" s="2">
        <v>16900</v>
      </c>
      <c r="N54" s="2">
        <v>16000</v>
      </c>
      <c r="O54" s="2"/>
      <c r="P54" s="2"/>
      <c r="Q54" s="2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spans="2:27" x14ac:dyDescent="0.2">
      <c r="B55" s="2"/>
      <c r="C55" s="11" t="s">
        <v>49</v>
      </c>
      <c r="D55" s="2"/>
      <c r="E55" s="2"/>
      <c r="F55" s="2" t="b">
        <v>0</v>
      </c>
      <c r="G55" s="2"/>
      <c r="H55" s="2"/>
      <c r="I55" s="2"/>
      <c r="J55" s="2"/>
      <c r="K55" s="2">
        <v>21000</v>
      </c>
      <c r="L55" s="2"/>
      <c r="M55" s="2">
        <v>39900</v>
      </c>
      <c r="N55" s="2">
        <v>11000</v>
      </c>
      <c r="O55" s="2"/>
      <c r="P55" s="2"/>
      <c r="Q55" s="2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spans="2:27" x14ac:dyDescent="0.2">
      <c r="B56" s="2"/>
      <c r="C56" s="11" t="s">
        <v>50</v>
      </c>
      <c r="D56" s="2"/>
      <c r="E56" s="2"/>
      <c r="F56" s="2" t="b">
        <v>0</v>
      </c>
      <c r="G56" s="2"/>
      <c r="H56" s="2"/>
      <c r="I56" s="2"/>
      <c r="J56" s="2"/>
      <c r="K56" s="2">
        <v>33000</v>
      </c>
      <c r="L56" s="2"/>
      <c r="M56" s="2">
        <v>50562</v>
      </c>
      <c r="N56" s="2">
        <v>30000</v>
      </c>
      <c r="O56" s="2"/>
      <c r="P56" s="2"/>
      <c r="Q56" s="2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spans="2:27" s="16" customFormat="1" ht="25.5" customHeight="1" x14ac:dyDescent="0.25">
      <c r="B57" s="13"/>
      <c r="C57" s="13" t="s">
        <v>51</v>
      </c>
      <c r="D57" s="13"/>
      <c r="E57" s="13"/>
      <c r="F57" s="13"/>
      <c r="G57" s="14">
        <f>R57</f>
        <v>203500</v>
      </c>
      <c r="H57" s="14"/>
      <c r="I57" s="14">
        <f t="shared" ref="H57:P61" si="22">T57</f>
        <v>178200</v>
      </c>
      <c r="J57" s="14"/>
      <c r="K57" s="14">
        <f t="shared" si="22"/>
        <v>218560.8</v>
      </c>
      <c r="L57" s="14">
        <f t="shared" si="22"/>
        <v>80775</v>
      </c>
      <c r="M57" s="14">
        <f t="shared" si="22"/>
        <v>65727.5</v>
      </c>
      <c r="N57" s="14"/>
      <c r="O57" s="14">
        <f t="shared" si="22"/>
        <v>273720</v>
      </c>
      <c r="P57" s="14">
        <f t="shared" si="22"/>
        <v>138625</v>
      </c>
      <c r="Q57" s="15"/>
      <c r="R57" s="9">
        <f>SUM(R9:R56)</f>
        <v>203500</v>
      </c>
      <c r="S57" s="9">
        <f t="shared" ref="S57:AA57" si="23">SUM(S9:S56)</f>
        <v>182660</v>
      </c>
      <c r="T57" s="9">
        <f t="shared" si="23"/>
        <v>178200</v>
      </c>
      <c r="U57" s="9">
        <f t="shared" si="23"/>
        <v>201265</v>
      </c>
      <c r="V57" s="9">
        <f t="shared" si="23"/>
        <v>218560.8</v>
      </c>
      <c r="W57" s="9">
        <f t="shared" si="23"/>
        <v>80775</v>
      </c>
      <c r="X57" s="9">
        <f t="shared" si="23"/>
        <v>65727.5</v>
      </c>
      <c r="Y57" s="9">
        <f t="shared" si="23"/>
        <v>310977.5</v>
      </c>
      <c r="Z57" s="9">
        <f t="shared" si="23"/>
        <v>273720</v>
      </c>
      <c r="AA57" s="9">
        <f t="shared" si="23"/>
        <v>138625</v>
      </c>
    </row>
    <row r="58" spans="2:27" s="16" customFormat="1" ht="25.5" customHeight="1" x14ac:dyDescent="0.25">
      <c r="B58" s="13"/>
      <c r="C58" s="13" t="s">
        <v>52</v>
      </c>
      <c r="D58" s="13"/>
      <c r="E58" s="13"/>
      <c r="F58" s="13"/>
      <c r="G58" s="14">
        <f>R58</f>
        <v>124500</v>
      </c>
      <c r="H58" s="14">
        <f t="shared" ref="H58:P58" si="24">S58</f>
        <v>118482.5</v>
      </c>
      <c r="I58" s="14">
        <f t="shared" si="24"/>
        <v>83000</v>
      </c>
      <c r="J58" s="14">
        <f t="shared" si="24"/>
        <v>106240</v>
      </c>
      <c r="K58" s="14">
        <f t="shared" si="24"/>
        <v>137580.79999999999</v>
      </c>
      <c r="L58" s="14">
        <f t="shared" si="24"/>
        <v>42330</v>
      </c>
      <c r="M58" s="14">
        <f t="shared" si="24"/>
        <v>34860</v>
      </c>
      <c r="N58" s="14">
        <f t="shared" si="24"/>
        <v>239247.5</v>
      </c>
      <c r="O58" s="14">
        <f t="shared" si="24"/>
        <v>136120</v>
      </c>
      <c r="P58" s="14">
        <f t="shared" si="24"/>
        <v>70550</v>
      </c>
      <c r="R58" s="22">
        <f>SUM(R9:R20)</f>
        <v>124500</v>
      </c>
      <c r="S58" s="22">
        <f t="shared" ref="S58:AA58" si="25">SUM(S9:S20)</f>
        <v>118482.5</v>
      </c>
      <c r="T58" s="22">
        <f t="shared" si="25"/>
        <v>83000</v>
      </c>
      <c r="U58" s="22">
        <f t="shared" si="25"/>
        <v>106240</v>
      </c>
      <c r="V58" s="22">
        <f t="shared" si="25"/>
        <v>137580.79999999999</v>
      </c>
      <c r="W58" s="22">
        <f t="shared" si="25"/>
        <v>42330</v>
      </c>
      <c r="X58" s="22">
        <f t="shared" si="25"/>
        <v>34860</v>
      </c>
      <c r="Y58" s="22">
        <f t="shared" si="25"/>
        <v>239247.5</v>
      </c>
      <c r="Z58" s="22">
        <f t="shared" si="25"/>
        <v>136120</v>
      </c>
      <c r="AA58" s="22">
        <f t="shared" si="25"/>
        <v>70550</v>
      </c>
    </row>
    <row r="59" spans="2:27" s="16" customFormat="1" ht="25.5" customHeight="1" x14ac:dyDescent="0.25">
      <c r="B59" s="13"/>
      <c r="C59" s="13" t="s">
        <v>53</v>
      </c>
      <c r="D59" s="13"/>
      <c r="E59" s="13"/>
      <c r="F59" s="13"/>
      <c r="G59" s="14">
        <f t="shared" ref="G59:G61" si="26">R59</f>
        <v>41500</v>
      </c>
      <c r="H59" s="14">
        <f t="shared" si="22"/>
        <v>43990</v>
      </c>
      <c r="I59" s="14">
        <f t="shared" si="22"/>
        <v>53950</v>
      </c>
      <c r="J59" s="14">
        <f t="shared" si="22"/>
        <v>66400</v>
      </c>
      <c r="K59" s="14">
        <f t="shared" si="22"/>
        <v>44820</v>
      </c>
      <c r="L59" s="14">
        <f t="shared" si="22"/>
        <v>24070</v>
      </c>
      <c r="M59" s="14">
        <f t="shared" si="22"/>
        <v>17430</v>
      </c>
      <c r="N59" s="14">
        <f t="shared" si="22"/>
        <v>28427.5</v>
      </c>
      <c r="O59" s="14">
        <f t="shared" si="22"/>
        <v>78850</v>
      </c>
      <c r="P59" s="14">
        <f t="shared" si="22"/>
        <v>33200</v>
      </c>
      <c r="R59" s="22">
        <f>SUM(R21:R26)</f>
        <v>41500</v>
      </c>
      <c r="S59" s="22">
        <f t="shared" ref="S59:AA59" si="27">SUM(S21:S26)</f>
        <v>43990</v>
      </c>
      <c r="T59" s="22">
        <f t="shared" si="27"/>
        <v>53950</v>
      </c>
      <c r="U59" s="22">
        <f t="shared" si="27"/>
        <v>66400</v>
      </c>
      <c r="V59" s="22">
        <f t="shared" si="27"/>
        <v>44820</v>
      </c>
      <c r="W59" s="22">
        <f t="shared" si="27"/>
        <v>24070</v>
      </c>
      <c r="X59" s="22">
        <f t="shared" si="27"/>
        <v>17430</v>
      </c>
      <c r="Y59" s="22">
        <f t="shared" si="27"/>
        <v>28427.5</v>
      </c>
      <c r="Z59" s="22">
        <f t="shared" si="27"/>
        <v>78850</v>
      </c>
      <c r="AA59" s="22">
        <f t="shared" si="27"/>
        <v>33200</v>
      </c>
    </row>
    <row r="60" spans="2:27" s="16" customFormat="1" ht="25.5" customHeight="1" x14ac:dyDescent="0.25">
      <c r="B60" s="13"/>
      <c r="C60" s="13" t="s">
        <v>54</v>
      </c>
      <c r="D60" s="13"/>
      <c r="E60" s="13"/>
      <c r="F60" s="13"/>
      <c r="G60" s="14">
        <f t="shared" si="26"/>
        <v>37500</v>
      </c>
      <c r="H60" s="14">
        <f t="shared" si="22"/>
        <v>20187.5</v>
      </c>
      <c r="I60" s="14">
        <f t="shared" si="22"/>
        <v>41250</v>
      </c>
      <c r="J60" s="14">
        <f t="shared" si="22"/>
        <v>28625</v>
      </c>
      <c r="K60" s="14">
        <f t="shared" si="22"/>
        <v>36160</v>
      </c>
      <c r="L60" s="14">
        <f t="shared" si="22"/>
        <v>14375</v>
      </c>
      <c r="M60" s="14">
        <f t="shared" si="22"/>
        <v>13437.5</v>
      </c>
      <c r="N60" s="14">
        <f t="shared" si="22"/>
        <v>43302.5</v>
      </c>
      <c r="O60" s="14">
        <f t="shared" si="22"/>
        <v>58750</v>
      </c>
      <c r="P60" s="14">
        <f t="shared" si="22"/>
        <v>34875</v>
      </c>
      <c r="R60" s="22">
        <f>SUM(R27:R44)</f>
        <v>37500</v>
      </c>
      <c r="S60" s="22">
        <f t="shared" ref="S60:AA60" si="28">SUM(S27:S44)</f>
        <v>20187.5</v>
      </c>
      <c r="T60" s="22">
        <f t="shared" si="28"/>
        <v>41250</v>
      </c>
      <c r="U60" s="22">
        <f t="shared" si="28"/>
        <v>28625</v>
      </c>
      <c r="V60" s="22">
        <f t="shared" si="28"/>
        <v>36160</v>
      </c>
      <c r="W60" s="22">
        <f t="shared" si="28"/>
        <v>14375</v>
      </c>
      <c r="X60" s="22">
        <f t="shared" si="28"/>
        <v>13437.5</v>
      </c>
      <c r="Y60" s="22">
        <f t="shared" si="28"/>
        <v>43302.5</v>
      </c>
      <c r="Z60" s="22">
        <f t="shared" si="28"/>
        <v>58750</v>
      </c>
      <c r="AA60" s="22">
        <f t="shared" si="28"/>
        <v>34875</v>
      </c>
    </row>
    <row r="61" spans="2:27" s="16" customFormat="1" ht="25.5" customHeight="1" x14ac:dyDescent="0.25">
      <c r="B61" s="13"/>
      <c r="C61" s="13" t="s">
        <v>55</v>
      </c>
      <c r="D61" s="13"/>
      <c r="E61" s="13"/>
      <c r="F61" s="13"/>
      <c r="G61" s="14">
        <f t="shared" si="26"/>
        <v>0</v>
      </c>
      <c r="H61" s="14">
        <f t="shared" si="22"/>
        <v>0</v>
      </c>
      <c r="I61" s="14">
        <f t="shared" si="22"/>
        <v>0</v>
      </c>
      <c r="J61" s="14">
        <f t="shared" si="22"/>
        <v>0</v>
      </c>
      <c r="K61" s="14">
        <f t="shared" si="22"/>
        <v>0</v>
      </c>
      <c r="L61" s="14">
        <f t="shared" si="22"/>
        <v>0</v>
      </c>
      <c r="M61" s="14">
        <f t="shared" si="22"/>
        <v>0</v>
      </c>
      <c r="N61" s="14">
        <f t="shared" si="22"/>
        <v>0</v>
      </c>
      <c r="O61" s="14">
        <f t="shared" si="22"/>
        <v>0</v>
      </c>
      <c r="P61" s="14">
        <f t="shared" si="22"/>
        <v>0</v>
      </c>
      <c r="R61" s="22">
        <f>SUM(R45:R50)</f>
        <v>0</v>
      </c>
      <c r="S61" s="22">
        <f t="shared" ref="S61:AA61" si="29">SUM(S45:S50)</f>
        <v>0</v>
      </c>
      <c r="T61" s="22">
        <f t="shared" si="29"/>
        <v>0</v>
      </c>
      <c r="U61" s="22">
        <f t="shared" si="29"/>
        <v>0</v>
      </c>
      <c r="V61" s="22">
        <f t="shared" si="29"/>
        <v>0</v>
      </c>
      <c r="W61" s="22">
        <f t="shared" si="29"/>
        <v>0</v>
      </c>
      <c r="X61" s="22">
        <f t="shared" si="29"/>
        <v>0</v>
      </c>
      <c r="Y61" s="22">
        <f t="shared" si="29"/>
        <v>0</v>
      </c>
      <c r="Z61" s="22">
        <f t="shared" si="29"/>
        <v>0</v>
      </c>
      <c r="AA61" s="22">
        <f t="shared" si="29"/>
        <v>0</v>
      </c>
    </row>
    <row r="62" spans="2:27" ht="25.5" customHeight="1" x14ac:dyDescent="0.2">
      <c r="G62" s="4" t="s">
        <v>6</v>
      </c>
      <c r="H62" s="4" t="s">
        <v>7</v>
      </c>
      <c r="I62" s="4" t="s">
        <v>8</v>
      </c>
      <c r="J62" s="4" t="s">
        <v>9</v>
      </c>
      <c r="K62" s="4" t="s">
        <v>10</v>
      </c>
      <c r="L62" s="4" t="s">
        <v>11</v>
      </c>
      <c r="M62" s="4" t="s">
        <v>12</v>
      </c>
      <c r="N62" s="4" t="s">
        <v>13</v>
      </c>
      <c r="O62" s="4" t="s">
        <v>14</v>
      </c>
      <c r="P62" s="4" t="s">
        <v>15</v>
      </c>
    </row>
    <row r="63" spans="2:27" x14ac:dyDescent="0.2">
      <c r="G63" s="21">
        <f t="shared" ref="G63:P63" si="30">1-(G57/$G$64)</f>
        <v>-0.22896195290811061</v>
      </c>
      <c r="H63" s="21">
        <f t="shared" si="30"/>
        <v>1</v>
      </c>
      <c r="I63" s="21">
        <f t="shared" si="30"/>
        <v>-7.6172088492507672E-2</v>
      </c>
      <c r="J63" s="21">
        <f t="shared" si="30"/>
        <v>1</v>
      </c>
      <c r="K63" s="21">
        <f t="shared" si="30"/>
        <v>-0.31991600784844687</v>
      </c>
      <c r="L63" s="21">
        <f t="shared" si="30"/>
        <v>0.51218967200907795</v>
      </c>
      <c r="M63" s="21">
        <f t="shared" si="30"/>
        <v>0.60306340658590751</v>
      </c>
      <c r="N63" s="21">
        <f t="shared" si="30"/>
        <v>1</v>
      </c>
      <c r="O63" s="21">
        <f t="shared" si="30"/>
        <v>-0.65302931572485501</v>
      </c>
      <c r="P63" s="21">
        <f t="shared" si="30"/>
        <v>0.16282628637893448</v>
      </c>
    </row>
    <row r="64" spans="2:27" x14ac:dyDescent="0.2">
      <c r="C64" s="1" t="s">
        <v>56</v>
      </c>
      <c r="G64" s="20">
        <f>AVERAGE(G57:P57)</f>
        <v>165586.9</v>
      </c>
    </row>
    <row r="65" spans="3:7" x14ac:dyDescent="0.2">
      <c r="C65" s="1" t="s">
        <v>57</v>
      </c>
      <c r="G65" s="20">
        <f>G64*1.1</f>
        <v>182145.59</v>
      </c>
    </row>
    <row r="66" spans="3:7" x14ac:dyDescent="0.2">
      <c r="C66" s="1" t="s">
        <v>58</v>
      </c>
      <c r="G66" s="20">
        <f>G64*1.2</f>
        <v>198704.28</v>
      </c>
    </row>
    <row r="67" spans="3:7" x14ac:dyDescent="0.2">
      <c r="G67" s="20">
        <f>G64*0.5</f>
        <v>82793.45</v>
      </c>
    </row>
  </sheetData>
  <autoFilter ref="B8:AA61" xr:uid="{AAF151D1-6191-4B17-A8E6-9655C8FC814E}"/>
  <conditionalFormatting sqref="G57:P57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8:P5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9:P59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60:P6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61:P6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63:P6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list" allowBlank="1" showInputMessage="1" showErrorMessage="1" sqref="F9:F50" xr:uid="{0F936B93-C206-44EF-9F08-D87D0E5818C3}">
      <formula1>$AE$1:$AE$3</formula1>
    </dataValidation>
  </dataValidations>
  <pageMargins left="0.7" right="0.7" top="0.75" bottom="0.75" header="0.3" footer="0.3"/>
  <pageSetup paperSize="9" orientation="portrait" r:id="rId1"/>
  <headerFooter>
    <oddFooter>&amp;C_x000D_&amp;1#&amp;"Aptos"&amp;6&amp;K000000 ECP-INFORMACION PUBLICA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2" r:id="rId4" name="Check Box 8">
              <controlPr defaultSize="0" autoFill="0" autoLine="0" autoPict="0">
                <anchor moveWithCells="1">
                  <from>
                    <xdr:col>4</xdr:col>
                    <xdr:colOff>19050</xdr:colOff>
                    <xdr:row>8</xdr:row>
                    <xdr:rowOff>9525</xdr:rowOff>
                  </from>
                  <to>
                    <xdr:col>4</xdr:col>
                    <xdr:colOff>228600</xdr:colOff>
                    <xdr:row>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5" name="Check Box 11">
              <controlPr defaultSize="0" autoFill="0" autoLine="0" autoPict="0">
                <anchor moveWithCells="1">
                  <from>
                    <xdr:col>4</xdr:col>
                    <xdr:colOff>19050</xdr:colOff>
                    <xdr:row>9</xdr:row>
                    <xdr:rowOff>0</xdr:rowOff>
                  </from>
                  <to>
                    <xdr:col>4</xdr:col>
                    <xdr:colOff>228600</xdr:colOff>
                    <xdr:row>9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6" name="Check Box 12">
              <controlPr defaultSize="0" autoFill="0" autoLine="0" autoPict="0">
                <anchor moveWithCells="1">
                  <from>
                    <xdr:col>4</xdr:col>
                    <xdr:colOff>19050</xdr:colOff>
                    <xdr:row>10</xdr:row>
                    <xdr:rowOff>0</xdr:rowOff>
                  </from>
                  <to>
                    <xdr:col>4</xdr:col>
                    <xdr:colOff>228600</xdr:colOff>
                    <xdr:row>10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7" name="Check Box 13">
              <controlPr defaultSize="0" autoFill="0" autoLine="0" autoPict="0">
                <anchor moveWithCells="1">
                  <from>
                    <xdr:col>4</xdr:col>
                    <xdr:colOff>19050</xdr:colOff>
                    <xdr:row>11</xdr:row>
                    <xdr:rowOff>0</xdr:rowOff>
                  </from>
                  <to>
                    <xdr:col>4</xdr:col>
                    <xdr:colOff>228600</xdr:colOff>
                    <xdr:row>11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8" name="Check Box 14">
              <controlPr defaultSize="0" autoFill="0" autoLine="0" autoPict="0">
                <anchor moveWithCells="1">
                  <from>
                    <xdr:col>4</xdr:col>
                    <xdr:colOff>19050</xdr:colOff>
                    <xdr:row>12</xdr:row>
                    <xdr:rowOff>0</xdr:rowOff>
                  </from>
                  <to>
                    <xdr:col>4</xdr:col>
                    <xdr:colOff>228600</xdr:colOff>
                    <xdr:row>12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9" name="Check Box 15">
              <controlPr defaultSize="0" autoFill="0" autoLine="0" autoPict="0">
                <anchor moveWithCells="1">
                  <from>
                    <xdr:col>4</xdr:col>
                    <xdr:colOff>19050</xdr:colOff>
                    <xdr:row>13</xdr:row>
                    <xdr:rowOff>0</xdr:rowOff>
                  </from>
                  <to>
                    <xdr:col>4</xdr:col>
                    <xdr:colOff>228600</xdr:colOff>
                    <xdr:row>13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0" name="Check Box 16">
              <controlPr defaultSize="0" autoFill="0" autoLine="0" autoPict="0">
                <anchor moveWithCells="1">
                  <from>
                    <xdr:col>4</xdr:col>
                    <xdr:colOff>19050</xdr:colOff>
                    <xdr:row>14</xdr:row>
                    <xdr:rowOff>0</xdr:rowOff>
                  </from>
                  <to>
                    <xdr:col>4</xdr:col>
                    <xdr:colOff>228600</xdr:colOff>
                    <xdr:row>14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1" name="Check Box 17">
              <controlPr defaultSize="0" autoFill="0" autoLine="0" autoPict="0">
                <anchor moveWithCells="1">
                  <from>
                    <xdr:col>4</xdr:col>
                    <xdr:colOff>19050</xdr:colOff>
                    <xdr:row>15</xdr:row>
                    <xdr:rowOff>0</xdr:rowOff>
                  </from>
                  <to>
                    <xdr:col>4</xdr:col>
                    <xdr:colOff>228600</xdr:colOff>
                    <xdr:row>15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2" name="Check Box 18">
              <controlPr defaultSize="0" autoFill="0" autoLine="0" autoPict="0">
                <anchor moveWithCells="1">
                  <from>
                    <xdr:col>4</xdr:col>
                    <xdr:colOff>19050</xdr:colOff>
                    <xdr:row>16</xdr:row>
                    <xdr:rowOff>0</xdr:rowOff>
                  </from>
                  <to>
                    <xdr:col>4</xdr:col>
                    <xdr:colOff>228600</xdr:colOff>
                    <xdr:row>16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13" name="Check Box 19">
              <controlPr defaultSize="0" autoFill="0" autoLine="0" autoPict="0">
                <anchor moveWithCells="1">
                  <from>
                    <xdr:col>4</xdr:col>
                    <xdr:colOff>19050</xdr:colOff>
                    <xdr:row>17</xdr:row>
                    <xdr:rowOff>0</xdr:rowOff>
                  </from>
                  <to>
                    <xdr:col>4</xdr:col>
                    <xdr:colOff>228600</xdr:colOff>
                    <xdr:row>17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4" name="Check Box 20">
              <controlPr defaultSize="0" autoFill="0" autoLine="0" autoPict="0">
                <anchor moveWithCells="1">
                  <from>
                    <xdr:col>4</xdr:col>
                    <xdr:colOff>19050</xdr:colOff>
                    <xdr:row>18</xdr:row>
                    <xdr:rowOff>0</xdr:rowOff>
                  </from>
                  <to>
                    <xdr:col>4</xdr:col>
                    <xdr:colOff>228600</xdr:colOff>
                    <xdr:row>18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15" name="Check Box 21">
              <controlPr defaultSize="0" autoFill="0" autoLine="0" autoPict="0">
                <anchor moveWithCells="1">
                  <from>
                    <xdr:col>4</xdr:col>
                    <xdr:colOff>19050</xdr:colOff>
                    <xdr:row>19</xdr:row>
                    <xdr:rowOff>0</xdr:rowOff>
                  </from>
                  <to>
                    <xdr:col>4</xdr:col>
                    <xdr:colOff>228600</xdr:colOff>
                    <xdr:row>19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16" name="Check Box 22">
              <controlPr defaultSize="0" autoFill="0" autoLine="0" autoPict="0">
                <anchor moveWithCells="1">
                  <from>
                    <xdr:col>4</xdr:col>
                    <xdr:colOff>19050</xdr:colOff>
                    <xdr:row>20</xdr:row>
                    <xdr:rowOff>0</xdr:rowOff>
                  </from>
                  <to>
                    <xdr:col>4</xdr:col>
                    <xdr:colOff>228600</xdr:colOff>
                    <xdr:row>20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17" name="Check Box 23">
              <controlPr defaultSize="0" autoFill="0" autoLine="0" autoPict="0">
                <anchor moveWithCells="1">
                  <from>
                    <xdr:col>4</xdr:col>
                    <xdr:colOff>19050</xdr:colOff>
                    <xdr:row>21</xdr:row>
                    <xdr:rowOff>0</xdr:rowOff>
                  </from>
                  <to>
                    <xdr:col>4</xdr:col>
                    <xdr:colOff>228600</xdr:colOff>
                    <xdr:row>21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18" name="Check Box 24">
              <controlPr defaultSize="0" autoFill="0" autoLine="0" autoPict="0">
                <anchor moveWithCells="1">
                  <from>
                    <xdr:col>4</xdr:col>
                    <xdr:colOff>19050</xdr:colOff>
                    <xdr:row>22</xdr:row>
                    <xdr:rowOff>0</xdr:rowOff>
                  </from>
                  <to>
                    <xdr:col>4</xdr:col>
                    <xdr:colOff>228600</xdr:colOff>
                    <xdr:row>22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19" name="Check Box 25">
              <controlPr defaultSize="0" autoFill="0" autoLine="0" autoPict="0">
                <anchor moveWithCells="1">
                  <from>
                    <xdr:col>4</xdr:col>
                    <xdr:colOff>19050</xdr:colOff>
                    <xdr:row>23</xdr:row>
                    <xdr:rowOff>0</xdr:rowOff>
                  </from>
                  <to>
                    <xdr:col>4</xdr:col>
                    <xdr:colOff>228600</xdr:colOff>
                    <xdr:row>23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0" name="Check Box 26">
              <controlPr defaultSize="0" autoFill="0" autoLine="0" autoPict="0">
                <anchor moveWithCells="1">
                  <from>
                    <xdr:col>4</xdr:col>
                    <xdr:colOff>19050</xdr:colOff>
                    <xdr:row>24</xdr:row>
                    <xdr:rowOff>0</xdr:rowOff>
                  </from>
                  <to>
                    <xdr:col>4</xdr:col>
                    <xdr:colOff>228600</xdr:colOff>
                    <xdr:row>24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1" name="Check Box 27">
              <controlPr defaultSize="0" autoFill="0" autoLine="0" autoPict="0">
                <anchor moveWithCells="1">
                  <from>
                    <xdr:col>4</xdr:col>
                    <xdr:colOff>19050</xdr:colOff>
                    <xdr:row>25</xdr:row>
                    <xdr:rowOff>0</xdr:rowOff>
                  </from>
                  <to>
                    <xdr:col>4</xdr:col>
                    <xdr:colOff>228600</xdr:colOff>
                    <xdr:row>25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22" name="Check Box 28">
              <controlPr defaultSize="0" autoFill="0" autoLine="0" autoPict="0">
                <anchor moveWithCells="1">
                  <from>
                    <xdr:col>4</xdr:col>
                    <xdr:colOff>19050</xdr:colOff>
                    <xdr:row>26</xdr:row>
                    <xdr:rowOff>0</xdr:rowOff>
                  </from>
                  <to>
                    <xdr:col>4</xdr:col>
                    <xdr:colOff>228600</xdr:colOff>
                    <xdr:row>26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23" name="Check Box 29">
              <controlPr defaultSize="0" autoFill="0" autoLine="0" autoPict="0">
                <anchor moveWithCells="1">
                  <from>
                    <xdr:col>4</xdr:col>
                    <xdr:colOff>19050</xdr:colOff>
                    <xdr:row>27</xdr:row>
                    <xdr:rowOff>0</xdr:rowOff>
                  </from>
                  <to>
                    <xdr:col>4</xdr:col>
                    <xdr:colOff>228600</xdr:colOff>
                    <xdr:row>27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24" name="Check Box 30">
              <controlPr defaultSize="0" autoFill="0" autoLine="0" autoPict="0">
                <anchor moveWithCells="1">
                  <from>
                    <xdr:col>4</xdr:col>
                    <xdr:colOff>19050</xdr:colOff>
                    <xdr:row>28</xdr:row>
                    <xdr:rowOff>0</xdr:rowOff>
                  </from>
                  <to>
                    <xdr:col>4</xdr:col>
                    <xdr:colOff>228600</xdr:colOff>
                    <xdr:row>28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25" name="Check Box 31">
              <controlPr defaultSize="0" autoFill="0" autoLine="0" autoPict="0">
                <anchor moveWithCells="1">
                  <from>
                    <xdr:col>4</xdr:col>
                    <xdr:colOff>19050</xdr:colOff>
                    <xdr:row>29</xdr:row>
                    <xdr:rowOff>0</xdr:rowOff>
                  </from>
                  <to>
                    <xdr:col>4</xdr:col>
                    <xdr:colOff>228600</xdr:colOff>
                    <xdr:row>29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26" name="Check Box 32">
              <controlPr defaultSize="0" autoFill="0" autoLine="0" autoPict="0">
                <anchor moveWithCells="1">
                  <from>
                    <xdr:col>4</xdr:col>
                    <xdr:colOff>19050</xdr:colOff>
                    <xdr:row>30</xdr:row>
                    <xdr:rowOff>0</xdr:rowOff>
                  </from>
                  <to>
                    <xdr:col>4</xdr:col>
                    <xdr:colOff>228600</xdr:colOff>
                    <xdr:row>30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27" name="Check Box 33">
              <controlPr defaultSize="0" autoFill="0" autoLine="0" autoPict="0">
                <anchor moveWithCells="1">
                  <from>
                    <xdr:col>4</xdr:col>
                    <xdr:colOff>19050</xdr:colOff>
                    <xdr:row>31</xdr:row>
                    <xdr:rowOff>0</xdr:rowOff>
                  </from>
                  <to>
                    <xdr:col>4</xdr:col>
                    <xdr:colOff>228600</xdr:colOff>
                    <xdr:row>31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28" name="Check Box 34">
              <controlPr defaultSize="0" autoFill="0" autoLine="0" autoPict="0">
                <anchor moveWithCells="1">
                  <from>
                    <xdr:col>4</xdr:col>
                    <xdr:colOff>19050</xdr:colOff>
                    <xdr:row>32</xdr:row>
                    <xdr:rowOff>0</xdr:rowOff>
                  </from>
                  <to>
                    <xdr:col>4</xdr:col>
                    <xdr:colOff>228600</xdr:colOff>
                    <xdr:row>32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29" name="Check Box 35">
              <controlPr defaultSize="0" autoFill="0" autoLine="0" autoPict="0">
                <anchor moveWithCells="1">
                  <from>
                    <xdr:col>4</xdr:col>
                    <xdr:colOff>19050</xdr:colOff>
                    <xdr:row>33</xdr:row>
                    <xdr:rowOff>0</xdr:rowOff>
                  </from>
                  <to>
                    <xdr:col>4</xdr:col>
                    <xdr:colOff>228600</xdr:colOff>
                    <xdr:row>33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30" name="Check Box 36">
              <controlPr defaultSize="0" autoFill="0" autoLine="0" autoPict="0">
                <anchor moveWithCells="1">
                  <from>
                    <xdr:col>4</xdr:col>
                    <xdr:colOff>19050</xdr:colOff>
                    <xdr:row>34</xdr:row>
                    <xdr:rowOff>0</xdr:rowOff>
                  </from>
                  <to>
                    <xdr:col>4</xdr:col>
                    <xdr:colOff>228600</xdr:colOff>
                    <xdr:row>34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31" name="Check Box 37">
              <controlPr defaultSize="0" autoFill="0" autoLine="0" autoPict="0">
                <anchor moveWithCells="1">
                  <from>
                    <xdr:col>4</xdr:col>
                    <xdr:colOff>19050</xdr:colOff>
                    <xdr:row>35</xdr:row>
                    <xdr:rowOff>0</xdr:rowOff>
                  </from>
                  <to>
                    <xdr:col>4</xdr:col>
                    <xdr:colOff>228600</xdr:colOff>
                    <xdr:row>35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32" name="Check Box 38">
              <controlPr defaultSize="0" autoFill="0" autoLine="0" autoPict="0">
                <anchor moveWithCells="1">
                  <from>
                    <xdr:col>4</xdr:col>
                    <xdr:colOff>19050</xdr:colOff>
                    <xdr:row>36</xdr:row>
                    <xdr:rowOff>0</xdr:rowOff>
                  </from>
                  <to>
                    <xdr:col>4</xdr:col>
                    <xdr:colOff>228600</xdr:colOff>
                    <xdr:row>36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33" name="Check Box 39">
              <controlPr defaultSize="0" autoFill="0" autoLine="0" autoPict="0">
                <anchor moveWithCells="1">
                  <from>
                    <xdr:col>4</xdr:col>
                    <xdr:colOff>19050</xdr:colOff>
                    <xdr:row>37</xdr:row>
                    <xdr:rowOff>0</xdr:rowOff>
                  </from>
                  <to>
                    <xdr:col>4</xdr:col>
                    <xdr:colOff>228600</xdr:colOff>
                    <xdr:row>37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34" name="Check Box 40">
              <controlPr defaultSize="0" autoFill="0" autoLine="0" autoPict="0">
                <anchor moveWithCells="1">
                  <from>
                    <xdr:col>4</xdr:col>
                    <xdr:colOff>19050</xdr:colOff>
                    <xdr:row>38</xdr:row>
                    <xdr:rowOff>0</xdr:rowOff>
                  </from>
                  <to>
                    <xdr:col>4</xdr:col>
                    <xdr:colOff>228600</xdr:colOff>
                    <xdr:row>38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35" name="Check Box 41">
              <controlPr defaultSize="0" autoFill="0" autoLine="0" autoPict="0">
                <anchor moveWithCells="1">
                  <from>
                    <xdr:col>4</xdr:col>
                    <xdr:colOff>19050</xdr:colOff>
                    <xdr:row>39</xdr:row>
                    <xdr:rowOff>0</xdr:rowOff>
                  </from>
                  <to>
                    <xdr:col>4</xdr:col>
                    <xdr:colOff>228600</xdr:colOff>
                    <xdr:row>39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36" name="Check Box 42">
              <controlPr defaultSize="0" autoFill="0" autoLine="0" autoPict="0">
                <anchor moveWithCells="1">
                  <from>
                    <xdr:col>4</xdr:col>
                    <xdr:colOff>19050</xdr:colOff>
                    <xdr:row>40</xdr:row>
                    <xdr:rowOff>0</xdr:rowOff>
                  </from>
                  <to>
                    <xdr:col>4</xdr:col>
                    <xdr:colOff>228600</xdr:colOff>
                    <xdr:row>40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37" name="Check Box 43">
              <controlPr defaultSize="0" autoFill="0" autoLine="0" autoPict="0">
                <anchor moveWithCells="1">
                  <from>
                    <xdr:col>4</xdr:col>
                    <xdr:colOff>19050</xdr:colOff>
                    <xdr:row>41</xdr:row>
                    <xdr:rowOff>0</xdr:rowOff>
                  </from>
                  <to>
                    <xdr:col>4</xdr:col>
                    <xdr:colOff>228600</xdr:colOff>
                    <xdr:row>41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38" name="Check Box 44">
              <controlPr defaultSize="0" autoFill="0" autoLine="0" autoPict="0">
                <anchor moveWithCells="1">
                  <from>
                    <xdr:col>4</xdr:col>
                    <xdr:colOff>19050</xdr:colOff>
                    <xdr:row>42</xdr:row>
                    <xdr:rowOff>0</xdr:rowOff>
                  </from>
                  <to>
                    <xdr:col>4</xdr:col>
                    <xdr:colOff>228600</xdr:colOff>
                    <xdr:row>42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39" name="Check Box 45">
              <controlPr defaultSize="0" autoFill="0" autoLine="0" autoPict="0">
                <anchor moveWithCells="1">
                  <from>
                    <xdr:col>4</xdr:col>
                    <xdr:colOff>19050</xdr:colOff>
                    <xdr:row>43</xdr:row>
                    <xdr:rowOff>0</xdr:rowOff>
                  </from>
                  <to>
                    <xdr:col>4</xdr:col>
                    <xdr:colOff>228600</xdr:colOff>
                    <xdr:row>43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40" name="Check Box 46">
              <controlPr defaultSize="0" autoFill="0" autoLine="0" autoPict="0">
                <anchor moveWithCells="1">
                  <from>
                    <xdr:col>4</xdr:col>
                    <xdr:colOff>19050</xdr:colOff>
                    <xdr:row>44</xdr:row>
                    <xdr:rowOff>0</xdr:rowOff>
                  </from>
                  <to>
                    <xdr:col>4</xdr:col>
                    <xdr:colOff>228600</xdr:colOff>
                    <xdr:row>44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41" name="Check Box 47">
              <controlPr defaultSize="0" autoFill="0" autoLine="0" autoPict="0">
                <anchor moveWithCells="1">
                  <from>
                    <xdr:col>4</xdr:col>
                    <xdr:colOff>19050</xdr:colOff>
                    <xdr:row>45</xdr:row>
                    <xdr:rowOff>0</xdr:rowOff>
                  </from>
                  <to>
                    <xdr:col>4</xdr:col>
                    <xdr:colOff>228600</xdr:colOff>
                    <xdr:row>45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42" name="Check Box 48">
              <controlPr defaultSize="0" autoFill="0" autoLine="0" autoPict="0">
                <anchor moveWithCells="1">
                  <from>
                    <xdr:col>4</xdr:col>
                    <xdr:colOff>19050</xdr:colOff>
                    <xdr:row>46</xdr:row>
                    <xdr:rowOff>0</xdr:rowOff>
                  </from>
                  <to>
                    <xdr:col>4</xdr:col>
                    <xdr:colOff>228600</xdr:colOff>
                    <xdr:row>46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3" r:id="rId43" name="Check Box 49">
              <controlPr defaultSize="0" autoFill="0" autoLine="0" autoPict="0">
                <anchor moveWithCells="1">
                  <from>
                    <xdr:col>4</xdr:col>
                    <xdr:colOff>19050</xdr:colOff>
                    <xdr:row>47</xdr:row>
                    <xdr:rowOff>0</xdr:rowOff>
                  </from>
                  <to>
                    <xdr:col>4</xdr:col>
                    <xdr:colOff>228600</xdr:colOff>
                    <xdr:row>47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4" r:id="rId44" name="Check Box 50">
              <controlPr defaultSize="0" autoFill="0" autoLine="0" autoPict="0">
                <anchor moveWithCells="1">
                  <from>
                    <xdr:col>4</xdr:col>
                    <xdr:colOff>19050</xdr:colOff>
                    <xdr:row>48</xdr:row>
                    <xdr:rowOff>0</xdr:rowOff>
                  </from>
                  <to>
                    <xdr:col>4</xdr:col>
                    <xdr:colOff>228600</xdr:colOff>
                    <xdr:row>48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45" name="Check Box 51">
              <controlPr defaultSize="0" autoFill="0" autoLine="0" autoPict="0">
                <anchor moveWithCells="1">
                  <from>
                    <xdr:col>4</xdr:col>
                    <xdr:colOff>19050</xdr:colOff>
                    <xdr:row>49</xdr:row>
                    <xdr:rowOff>0</xdr:rowOff>
                  </from>
                  <to>
                    <xdr:col>4</xdr:col>
                    <xdr:colOff>228600</xdr:colOff>
                    <xdr:row>49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46" name="Check Box 52">
              <controlPr defaultSize="0" autoFill="0" autoLine="0" autoPict="0">
                <anchor moveWithCells="1">
                  <from>
                    <xdr:col>4</xdr:col>
                    <xdr:colOff>19050</xdr:colOff>
                    <xdr:row>50</xdr:row>
                    <xdr:rowOff>0</xdr:rowOff>
                  </from>
                  <to>
                    <xdr:col>4</xdr:col>
                    <xdr:colOff>228600</xdr:colOff>
                    <xdr:row>50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47" name="Check Box 53">
              <controlPr defaultSize="0" autoFill="0" autoLine="0" autoPict="0">
                <anchor moveWithCells="1">
                  <from>
                    <xdr:col>4</xdr:col>
                    <xdr:colOff>19050</xdr:colOff>
                    <xdr:row>51</xdr:row>
                    <xdr:rowOff>0</xdr:rowOff>
                  </from>
                  <to>
                    <xdr:col>4</xdr:col>
                    <xdr:colOff>228600</xdr:colOff>
                    <xdr:row>51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48" name="Check Box 54">
              <controlPr defaultSize="0" autoFill="0" autoLine="0" autoPict="0">
                <anchor moveWithCells="1">
                  <from>
                    <xdr:col>4</xdr:col>
                    <xdr:colOff>19050</xdr:colOff>
                    <xdr:row>52</xdr:row>
                    <xdr:rowOff>0</xdr:rowOff>
                  </from>
                  <to>
                    <xdr:col>4</xdr:col>
                    <xdr:colOff>228600</xdr:colOff>
                    <xdr:row>52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49" name="Check Box 55">
              <controlPr defaultSize="0" autoFill="0" autoLine="0" autoPict="0">
                <anchor moveWithCells="1">
                  <from>
                    <xdr:col>4</xdr:col>
                    <xdr:colOff>19050</xdr:colOff>
                    <xdr:row>53</xdr:row>
                    <xdr:rowOff>0</xdr:rowOff>
                  </from>
                  <to>
                    <xdr:col>4</xdr:col>
                    <xdr:colOff>228600</xdr:colOff>
                    <xdr:row>53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50" name="Check Box 56">
              <controlPr defaultSize="0" autoFill="0" autoLine="0" autoPict="0">
                <anchor moveWithCells="1">
                  <from>
                    <xdr:col>4</xdr:col>
                    <xdr:colOff>19050</xdr:colOff>
                    <xdr:row>54</xdr:row>
                    <xdr:rowOff>0</xdr:rowOff>
                  </from>
                  <to>
                    <xdr:col>4</xdr:col>
                    <xdr:colOff>228600</xdr:colOff>
                    <xdr:row>54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51" name="Check Box 57">
              <controlPr defaultSize="0" autoFill="0" autoLine="0" autoPict="0">
                <anchor moveWithCells="1">
                  <from>
                    <xdr:col>4</xdr:col>
                    <xdr:colOff>19050</xdr:colOff>
                    <xdr:row>55</xdr:row>
                    <xdr:rowOff>0</xdr:rowOff>
                  </from>
                  <to>
                    <xdr:col>4</xdr:col>
                    <xdr:colOff>228600</xdr:colOff>
                    <xdr:row>55</xdr:row>
                    <xdr:rowOff>142875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15A6A-7F86-4FF7-8961-AB215309F886}">
  <dimension ref="A1:AE366"/>
  <sheetViews>
    <sheetView zoomScaleNormal="100" workbookViewId="0">
      <pane xSplit="6" ySplit="6" topLeftCell="G41" activePane="bottomRight" state="frozen"/>
      <selection pane="topRight" activeCell="F1" sqref="F1"/>
      <selection pane="bottomLeft" activeCell="A7" sqref="A7"/>
      <selection pane="bottomRight" activeCell="M83" sqref="M83:M84"/>
    </sheetView>
  </sheetViews>
  <sheetFormatPr baseColWidth="10" defaultColWidth="11.42578125" defaultRowHeight="12.75" x14ac:dyDescent="0.2"/>
  <cols>
    <col min="1" max="1" width="16.7109375" style="1" customWidth="1"/>
    <col min="2" max="2" width="11.42578125" style="1"/>
    <col min="3" max="3" width="77.5703125" style="1" customWidth="1"/>
    <col min="4" max="4" width="11.7109375" style="1" bestFit="1" customWidth="1"/>
    <col min="5" max="5" width="3.7109375" style="1" customWidth="1"/>
    <col min="6" max="6" width="12.7109375" style="1" customWidth="1"/>
    <col min="7" max="7" width="16" style="1" bestFit="1" customWidth="1"/>
    <col min="8" max="16" width="17.7109375" style="1" customWidth="1"/>
    <col min="17" max="17" width="13.42578125" style="1" hidden="1" customWidth="1"/>
    <col min="18" max="27" width="17.7109375" style="1" hidden="1" customWidth="1"/>
    <col min="28" max="30" width="11.42578125" style="1"/>
    <col min="31" max="31" width="12.7109375" style="1" hidden="1" customWidth="1"/>
    <col min="32" max="16384" width="11.42578125" style="1"/>
  </cols>
  <sheetData>
    <row r="1" spans="1:31" x14ac:dyDescent="0.2">
      <c r="C1" s="17" t="s">
        <v>59</v>
      </c>
      <c r="D1" s="18">
        <v>0</v>
      </c>
      <c r="E1" s="23"/>
      <c r="F1" s="3"/>
      <c r="AE1" s="1" t="b">
        <v>1</v>
      </c>
    </row>
    <row r="2" spans="1:31" x14ac:dyDescent="0.2">
      <c r="C2" s="17" t="s">
        <v>60</v>
      </c>
      <c r="D2" s="18">
        <v>174.8</v>
      </c>
      <c r="E2" s="23"/>
      <c r="F2" s="3"/>
      <c r="AE2" s="1" t="b">
        <v>0</v>
      </c>
    </row>
    <row r="3" spans="1:31" x14ac:dyDescent="0.2">
      <c r="C3" s="17" t="s">
        <v>4</v>
      </c>
      <c r="D3" s="19">
        <v>0</v>
      </c>
      <c r="E3" s="24"/>
    </row>
    <row r="4" spans="1:31" x14ac:dyDescent="0.2">
      <c r="C4" s="17" t="s">
        <v>5</v>
      </c>
      <c r="D4" s="19">
        <v>5</v>
      </c>
      <c r="E4" s="24"/>
    </row>
    <row r="5" spans="1:31" ht="25.5" customHeight="1" x14ac:dyDescent="0.2">
      <c r="G5" s="4" t="s">
        <v>6</v>
      </c>
      <c r="H5" s="4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  <c r="N5" s="4" t="s">
        <v>13</v>
      </c>
      <c r="O5" s="4" t="s">
        <v>14</v>
      </c>
      <c r="P5" s="4" t="s">
        <v>15</v>
      </c>
      <c r="R5" s="4" t="s">
        <v>6</v>
      </c>
      <c r="S5" s="4" t="s">
        <v>7</v>
      </c>
      <c r="T5" s="4" t="s">
        <v>8</v>
      </c>
      <c r="U5" s="4" t="s">
        <v>9</v>
      </c>
      <c r="V5" s="4" t="s">
        <v>10</v>
      </c>
      <c r="W5" s="4" t="s">
        <v>11</v>
      </c>
      <c r="X5" s="4" t="s">
        <v>12</v>
      </c>
      <c r="Y5" s="4" t="s">
        <v>13</v>
      </c>
      <c r="Z5" s="4" t="s">
        <v>14</v>
      </c>
      <c r="AA5" s="4" t="s">
        <v>15</v>
      </c>
    </row>
    <row r="6" spans="1:31" ht="26.25" thickBot="1" x14ac:dyDescent="0.25">
      <c r="B6" s="56" t="s">
        <v>16</v>
      </c>
      <c r="C6" s="56" t="s">
        <v>17</v>
      </c>
      <c r="D6" s="56" t="s">
        <v>18</v>
      </c>
      <c r="E6" s="56"/>
      <c r="F6" s="56" t="s">
        <v>19</v>
      </c>
      <c r="G6" s="56" t="s">
        <v>20</v>
      </c>
      <c r="H6" s="56" t="s">
        <v>20</v>
      </c>
      <c r="I6" s="56" t="s">
        <v>20</v>
      </c>
      <c r="J6" s="56" t="s">
        <v>20</v>
      </c>
      <c r="K6" s="56" t="s">
        <v>20</v>
      </c>
      <c r="L6" s="56" t="s">
        <v>20</v>
      </c>
      <c r="M6" s="56" t="s">
        <v>20</v>
      </c>
      <c r="N6" s="56" t="s">
        <v>20</v>
      </c>
      <c r="O6" s="56" t="s">
        <v>20</v>
      </c>
      <c r="P6" s="56" t="s">
        <v>20</v>
      </c>
      <c r="Q6" s="4" t="s">
        <v>21</v>
      </c>
      <c r="R6" s="5" t="s">
        <v>22</v>
      </c>
      <c r="S6" s="5" t="s">
        <v>22</v>
      </c>
      <c r="T6" s="5" t="s">
        <v>22</v>
      </c>
      <c r="U6" s="5" t="s">
        <v>22</v>
      </c>
      <c r="V6" s="5" t="s">
        <v>22</v>
      </c>
      <c r="W6" s="5" t="s">
        <v>22</v>
      </c>
      <c r="X6" s="5" t="s">
        <v>22</v>
      </c>
      <c r="Y6" s="5" t="s">
        <v>22</v>
      </c>
      <c r="Z6" s="5" t="s">
        <v>22</v>
      </c>
      <c r="AA6" s="5" t="s">
        <v>22</v>
      </c>
    </row>
    <row r="7" spans="1:31" x14ac:dyDescent="0.2">
      <c r="A7" s="76" t="s">
        <v>61</v>
      </c>
      <c r="B7" s="34" t="s">
        <v>23</v>
      </c>
      <c r="C7" s="35" t="s">
        <v>62</v>
      </c>
      <c r="D7" s="36"/>
      <c r="E7" s="36"/>
      <c r="F7" s="36" t="b">
        <v>0</v>
      </c>
      <c r="G7" s="57"/>
      <c r="H7" s="57"/>
      <c r="I7" s="57"/>
      <c r="J7" s="57">
        <v>30</v>
      </c>
      <c r="K7" s="57"/>
      <c r="L7" s="57"/>
      <c r="M7" s="57"/>
      <c r="N7" s="57"/>
      <c r="O7" s="57"/>
      <c r="P7" s="58"/>
      <c r="Q7" s="32" t="b">
        <f>AND($D$1&gt;0,F7=TRUE)</f>
        <v>0</v>
      </c>
      <c r="R7" s="9">
        <f>IF($Q7=TRUE,G7*$D$1,0)</f>
        <v>0</v>
      </c>
      <c r="S7" s="9">
        <f t="shared" ref="S7:AA7" si="0">IF($Q7=TRUE,H7*$D$1,0)</f>
        <v>0</v>
      </c>
      <c r="T7" s="9">
        <f t="shared" si="0"/>
        <v>0</v>
      </c>
      <c r="U7" s="9">
        <f t="shared" si="0"/>
        <v>0</v>
      </c>
      <c r="V7" s="9">
        <f t="shared" si="0"/>
        <v>0</v>
      </c>
      <c r="W7" s="9">
        <f t="shared" si="0"/>
        <v>0</v>
      </c>
      <c r="X7" s="9">
        <f t="shared" si="0"/>
        <v>0</v>
      </c>
      <c r="Y7" s="9">
        <f t="shared" si="0"/>
        <v>0</v>
      </c>
      <c r="Z7" s="9">
        <f t="shared" si="0"/>
        <v>0</v>
      </c>
      <c r="AA7" s="9">
        <f t="shared" si="0"/>
        <v>0</v>
      </c>
    </row>
    <row r="8" spans="1:31" x14ac:dyDescent="0.2">
      <c r="A8" s="77"/>
      <c r="B8" s="10" t="s">
        <v>28</v>
      </c>
      <c r="C8" s="11" t="s">
        <v>62</v>
      </c>
      <c r="D8" s="25"/>
      <c r="E8" s="25"/>
      <c r="F8" s="25" t="b">
        <v>0</v>
      </c>
      <c r="G8" s="27"/>
      <c r="H8" s="27"/>
      <c r="I8" s="27"/>
      <c r="J8" s="27">
        <v>41</v>
      </c>
      <c r="K8" s="27"/>
      <c r="L8" s="27"/>
      <c r="M8" s="27"/>
      <c r="N8" s="27"/>
      <c r="O8" s="27"/>
      <c r="P8" s="59"/>
      <c r="Q8" s="33" t="b">
        <f>AND($D$2&gt;0,F8=TRUE)</f>
        <v>0</v>
      </c>
      <c r="R8" s="9">
        <f>IF($Q8=TRUE,G8*$D$2,0)</f>
        <v>0</v>
      </c>
      <c r="S8" s="9">
        <f t="shared" ref="S8:AA8" si="1">IF($Q8=TRUE,H8*$D$2,0)</f>
        <v>0</v>
      </c>
      <c r="T8" s="9">
        <f t="shared" si="1"/>
        <v>0</v>
      </c>
      <c r="U8" s="9">
        <f t="shared" si="1"/>
        <v>0</v>
      </c>
      <c r="V8" s="9">
        <f t="shared" si="1"/>
        <v>0</v>
      </c>
      <c r="W8" s="9">
        <f t="shared" si="1"/>
        <v>0</v>
      </c>
      <c r="X8" s="9">
        <f t="shared" si="1"/>
        <v>0</v>
      </c>
      <c r="Y8" s="9">
        <f t="shared" si="1"/>
        <v>0</v>
      </c>
      <c r="Z8" s="9">
        <f t="shared" si="1"/>
        <v>0</v>
      </c>
      <c r="AA8" s="9">
        <f t="shared" si="1"/>
        <v>0</v>
      </c>
    </row>
    <row r="9" spans="1:31" x14ac:dyDescent="0.2">
      <c r="A9" s="77"/>
      <c r="B9" s="6" t="s">
        <v>23</v>
      </c>
      <c r="C9" s="26" t="s">
        <v>63</v>
      </c>
      <c r="D9" s="8"/>
      <c r="E9" s="8"/>
      <c r="F9" s="8" t="b">
        <v>0</v>
      </c>
      <c r="G9" s="27"/>
      <c r="H9" s="27"/>
      <c r="I9" s="27"/>
      <c r="J9" s="27"/>
      <c r="K9" s="27"/>
      <c r="L9" s="27"/>
      <c r="M9" s="27"/>
      <c r="N9" s="27"/>
      <c r="O9" s="27"/>
      <c r="P9" s="59"/>
      <c r="Q9" s="32" t="b">
        <f>AND($D$1&gt;0,F9=TRUE)</f>
        <v>0</v>
      </c>
      <c r="R9" s="9">
        <f t="shared" ref="R9" si="2">IF($Q9=TRUE,G9*$D$1,0)</f>
        <v>0</v>
      </c>
      <c r="S9" s="9">
        <f t="shared" ref="S9" si="3">IF($Q9=TRUE,H9*$D$1,0)</f>
        <v>0</v>
      </c>
      <c r="T9" s="9">
        <f t="shared" ref="T9" si="4">IF($Q9=TRUE,I9*$D$1,0)</f>
        <v>0</v>
      </c>
      <c r="U9" s="9">
        <f t="shared" ref="U9" si="5">IF($Q9=TRUE,J9*$D$1,0)</f>
        <v>0</v>
      </c>
      <c r="V9" s="9">
        <f t="shared" ref="V9" si="6">IF($Q9=TRUE,K9*$D$1,0)</f>
        <v>0</v>
      </c>
      <c r="W9" s="9">
        <f t="shared" ref="W9" si="7">IF($Q9=TRUE,L9*$D$1,0)</f>
        <v>0</v>
      </c>
      <c r="X9" s="9">
        <f t="shared" ref="X9" si="8">IF($Q9=TRUE,M9*$D$1,0)</f>
        <v>0</v>
      </c>
      <c r="Y9" s="9">
        <f t="shared" ref="Y9" si="9">IF($Q9=TRUE,N9*$D$1,0)</f>
        <v>0</v>
      </c>
      <c r="Z9" s="9">
        <f t="shared" ref="Z9" si="10">IF($Q9=TRUE,O9*$D$1,0)</f>
        <v>0</v>
      </c>
      <c r="AA9" s="9">
        <f t="shared" ref="AA9" si="11">IF($Q9=TRUE,P9*$D$1,0)</f>
        <v>0</v>
      </c>
    </row>
    <row r="10" spans="1:31" x14ac:dyDescent="0.2">
      <c r="A10" s="77"/>
      <c r="B10" s="10" t="s">
        <v>28</v>
      </c>
      <c r="C10" s="26" t="s">
        <v>63</v>
      </c>
      <c r="D10" s="25"/>
      <c r="E10" s="25"/>
      <c r="F10" s="25" t="b">
        <v>0</v>
      </c>
      <c r="G10" s="27"/>
      <c r="H10" s="27"/>
      <c r="I10" s="27"/>
      <c r="J10" s="27"/>
      <c r="K10" s="27"/>
      <c r="L10" s="27">
        <v>10</v>
      </c>
      <c r="M10" s="27"/>
      <c r="N10" s="27"/>
      <c r="O10" s="27"/>
      <c r="P10" s="59"/>
      <c r="Q10" s="33" t="b">
        <f>AND($D$2&gt;0,F10=TRUE)</f>
        <v>0</v>
      </c>
      <c r="R10" s="9">
        <f t="shared" ref="R10" si="12">IF($Q10=TRUE,G10*$D$2,0)</f>
        <v>0</v>
      </c>
      <c r="S10" s="9">
        <f t="shared" ref="S10" si="13">IF($Q10=TRUE,H10*$D$2,0)</f>
        <v>0</v>
      </c>
      <c r="T10" s="9">
        <f t="shared" ref="T10" si="14">IF($Q10=TRUE,I10*$D$2,0)</f>
        <v>0</v>
      </c>
      <c r="U10" s="9">
        <f t="shared" ref="U10" si="15">IF($Q10=TRUE,J10*$D$2,0)</f>
        <v>0</v>
      </c>
      <c r="V10" s="9">
        <f t="shared" ref="V10" si="16">IF($Q10=TRUE,K10*$D$2,0)</f>
        <v>0</v>
      </c>
      <c r="W10" s="9">
        <f t="shared" ref="W10" si="17">IF($Q10=TRUE,L10*$D$2,0)</f>
        <v>0</v>
      </c>
      <c r="X10" s="9">
        <f t="shared" ref="X10" si="18">IF($Q10=TRUE,M10*$D$2,0)</f>
        <v>0</v>
      </c>
      <c r="Y10" s="9">
        <f t="shared" ref="Y10" si="19">IF($Q10=TRUE,N10*$D$2,0)</f>
        <v>0</v>
      </c>
      <c r="Z10" s="9">
        <f t="shared" ref="Z10" si="20">IF($Q10=TRUE,O10*$D$2,0)</f>
        <v>0</v>
      </c>
      <c r="AA10" s="9">
        <f t="shared" ref="AA10" si="21">IF($Q10=TRUE,P10*$D$2,0)</f>
        <v>0</v>
      </c>
    </row>
    <row r="11" spans="1:31" x14ac:dyDescent="0.2">
      <c r="A11" s="77"/>
      <c r="B11" s="6" t="s">
        <v>23</v>
      </c>
      <c r="C11" s="7" t="s">
        <v>64</v>
      </c>
      <c r="D11" s="8"/>
      <c r="E11" s="8"/>
      <c r="F11" s="8" t="b">
        <v>0</v>
      </c>
      <c r="G11" s="27"/>
      <c r="H11" s="27"/>
      <c r="I11" s="27"/>
      <c r="J11" s="27"/>
      <c r="K11" s="27"/>
      <c r="L11" s="27"/>
      <c r="M11" s="27"/>
      <c r="N11" s="27"/>
      <c r="O11" s="27"/>
      <c r="P11" s="59">
        <v>20</v>
      </c>
      <c r="Q11" s="32" t="b">
        <f t="shared" ref="Q11:Q73" si="22">AND($D$1&gt;0,F11=TRUE)</f>
        <v>0</v>
      </c>
      <c r="R11" s="9">
        <f t="shared" ref="R11" si="23">IF($Q11=TRUE,G11*$D$1,0)</f>
        <v>0</v>
      </c>
      <c r="S11" s="9">
        <f t="shared" ref="S11" si="24">IF($Q11=TRUE,H11*$D$1,0)</f>
        <v>0</v>
      </c>
      <c r="T11" s="9">
        <f t="shared" ref="T11" si="25">IF($Q11=TRUE,I11*$D$1,0)</f>
        <v>0</v>
      </c>
      <c r="U11" s="9">
        <f t="shared" ref="U11" si="26">IF($Q11=TRUE,J11*$D$1,0)</f>
        <v>0</v>
      </c>
      <c r="V11" s="9">
        <f t="shared" ref="V11" si="27">IF($Q11=TRUE,K11*$D$1,0)</f>
        <v>0</v>
      </c>
      <c r="W11" s="9">
        <f t="shared" ref="W11" si="28">IF($Q11=TRUE,L11*$D$1,0)</f>
        <v>0</v>
      </c>
      <c r="X11" s="9">
        <f t="shared" ref="X11" si="29">IF($Q11=TRUE,M11*$D$1,0)</f>
        <v>0</v>
      </c>
      <c r="Y11" s="9">
        <f t="shared" ref="Y11" si="30">IF($Q11=TRUE,N11*$D$1,0)</f>
        <v>0</v>
      </c>
      <c r="Z11" s="9">
        <f t="shared" ref="Z11" si="31">IF($Q11=TRUE,O11*$D$1,0)</f>
        <v>0</v>
      </c>
      <c r="AA11" s="9">
        <f t="shared" ref="AA11" si="32">IF($Q11=TRUE,P11*$D$1,0)</f>
        <v>0</v>
      </c>
    </row>
    <row r="12" spans="1:31" x14ac:dyDescent="0.2">
      <c r="A12" s="77"/>
      <c r="B12" s="10" t="s">
        <v>28</v>
      </c>
      <c r="C12" s="11" t="s">
        <v>64</v>
      </c>
      <c r="D12" s="25"/>
      <c r="E12" s="25"/>
      <c r="F12" s="25" t="b">
        <v>0</v>
      </c>
      <c r="G12" s="27"/>
      <c r="H12" s="27"/>
      <c r="I12" s="27"/>
      <c r="J12" s="27"/>
      <c r="K12" s="27"/>
      <c r="L12" s="27"/>
      <c r="M12" s="27"/>
      <c r="N12" s="27"/>
      <c r="O12" s="27"/>
      <c r="P12" s="59">
        <v>22</v>
      </c>
      <c r="Q12" s="33" t="b">
        <f t="shared" ref="Q12:Q74" si="33">AND($D$2&gt;0,F12=TRUE)</f>
        <v>0</v>
      </c>
      <c r="R12" s="9">
        <f t="shared" ref="R12" si="34">IF($Q12=TRUE,G12*$D$2,0)</f>
        <v>0</v>
      </c>
      <c r="S12" s="9">
        <f t="shared" ref="S12" si="35">IF($Q12=TRUE,H12*$D$2,0)</f>
        <v>0</v>
      </c>
      <c r="T12" s="9">
        <f t="shared" ref="T12" si="36">IF($Q12=TRUE,I12*$D$2,0)</f>
        <v>0</v>
      </c>
      <c r="U12" s="9">
        <f t="shared" ref="U12" si="37">IF($Q12=TRUE,J12*$D$2,0)</f>
        <v>0</v>
      </c>
      <c r="V12" s="9">
        <f t="shared" ref="V12" si="38">IF($Q12=TRUE,K12*$D$2,0)</f>
        <v>0</v>
      </c>
      <c r="W12" s="9">
        <f t="shared" ref="W12" si="39">IF($Q12=TRUE,L12*$D$2,0)</f>
        <v>0</v>
      </c>
      <c r="X12" s="9">
        <f t="shared" ref="X12" si="40">IF($Q12=TRUE,M12*$D$2,0)</f>
        <v>0</v>
      </c>
      <c r="Y12" s="9">
        <f t="shared" ref="Y12" si="41">IF($Q12=TRUE,N12*$D$2,0)</f>
        <v>0</v>
      </c>
      <c r="Z12" s="9">
        <f t="shared" ref="Z12" si="42">IF($Q12=TRUE,O12*$D$2,0)</f>
        <v>0</v>
      </c>
      <c r="AA12" s="9">
        <f t="shared" ref="AA12" si="43">IF($Q12=TRUE,P12*$D$2,0)</f>
        <v>0</v>
      </c>
    </row>
    <row r="13" spans="1:31" x14ac:dyDescent="0.2">
      <c r="A13" s="77"/>
      <c r="B13" s="6" t="s">
        <v>23</v>
      </c>
      <c r="C13" s="7" t="s">
        <v>65</v>
      </c>
      <c r="D13" s="8"/>
      <c r="E13" s="8"/>
      <c r="F13" s="8" t="b">
        <v>0</v>
      </c>
      <c r="G13" s="27"/>
      <c r="H13" s="27">
        <v>15</v>
      </c>
      <c r="I13" s="27"/>
      <c r="J13" s="27"/>
      <c r="K13" s="27"/>
      <c r="L13" s="27"/>
      <c r="M13" s="27"/>
      <c r="N13" s="27"/>
      <c r="O13" s="27"/>
      <c r="P13" s="59"/>
      <c r="Q13" s="32" t="b">
        <f t="shared" si="22"/>
        <v>0</v>
      </c>
      <c r="R13" s="9">
        <f t="shared" ref="R13" si="44">IF($Q13=TRUE,G13*$D$1,0)</f>
        <v>0</v>
      </c>
      <c r="S13" s="9">
        <f t="shared" ref="S13" si="45">IF($Q13=TRUE,H13*$D$1,0)</f>
        <v>0</v>
      </c>
      <c r="T13" s="9">
        <f t="shared" ref="T13" si="46">IF($Q13=TRUE,I13*$D$1,0)</f>
        <v>0</v>
      </c>
      <c r="U13" s="9">
        <f t="shared" ref="U13" si="47">IF($Q13=TRUE,J13*$D$1,0)</f>
        <v>0</v>
      </c>
      <c r="V13" s="9">
        <f t="shared" ref="V13" si="48">IF($Q13=TRUE,K13*$D$1,0)</f>
        <v>0</v>
      </c>
      <c r="W13" s="9">
        <f t="shared" ref="W13" si="49">IF($Q13=TRUE,L13*$D$1,0)</f>
        <v>0</v>
      </c>
      <c r="X13" s="9">
        <f t="shared" ref="X13" si="50">IF($Q13=TRUE,M13*$D$1,0)</f>
        <v>0</v>
      </c>
      <c r="Y13" s="9">
        <f t="shared" ref="Y13" si="51">IF($Q13=TRUE,N13*$D$1,0)</f>
        <v>0</v>
      </c>
      <c r="Z13" s="9">
        <f t="shared" ref="Z13" si="52">IF($Q13=TRUE,O13*$D$1,0)</f>
        <v>0</v>
      </c>
      <c r="AA13" s="9">
        <f t="shared" ref="AA13" si="53">IF($Q13=TRUE,P13*$D$1,0)</f>
        <v>0</v>
      </c>
    </row>
    <row r="14" spans="1:31" x14ac:dyDescent="0.2">
      <c r="A14" s="77"/>
      <c r="B14" s="10" t="s">
        <v>28</v>
      </c>
      <c r="C14" s="11" t="s">
        <v>65</v>
      </c>
      <c r="D14" s="25"/>
      <c r="E14" s="25"/>
      <c r="F14" s="25" t="b">
        <v>0</v>
      </c>
      <c r="G14" s="27"/>
      <c r="H14" s="27">
        <v>30</v>
      </c>
      <c r="I14" s="27"/>
      <c r="J14" s="27"/>
      <c r="K14" s="27"/>
      <c r="L14" s="27"/>
      <c r="M14" s="27"/>
      <c r="N14" s="27"/>
      <c r="O14" s="27"/>
      <c r="P14" s="59"/>
      <c r="Q14" s="33" t="b">
        <f t="shared" si="33"/>
        <v>0</v>
      </c>
      <c r="R14" s="9">
        <f t="shared" ref="R14" si="54">IF($Q14=TRUE,G14*$D$2,0)</f>
        <v>0</v>
      </c>
      <c r="S14" s="9">
        <f t="shared" ref="S14" si="55">IF($Q14=TRUE,H14*$D$2,0)</f>
        <v>0</v>
      </c>
      <c r="T14" s="9">
        <f t="shared" ref="T14" si="56">IF($Q14=TRUE,I14*$D$2,0)</f>
        <v>0</v>
      </c>
      <c r="U14" s="9">
        <f t="shared" ref="U14" si="57">IF($Q14=TRUE,J14*$D$2,0)</f>
        <v>0</v>
      </c>
      <c r="V14" s="9">
        <f t="shared" ref="V14" si="58">IF($Q14=TRUE,K14*$D$2,0)</f>
        <v>0</v>
      </c>
      <c r="W14" s="9">
        <f t="shared" ref="W14" si="59">IF($Q14=TRUE,L14*$D$2,0)</f>
        <v>0</v>
      </c>
      <c r="X14" s="9">
        <f t="shared" ref="X14" si="60">IF($Q14=TRUE,M14*$D$2,0)</f>
        <v>0</v>
      </c>
      <c r="Y14" s="9">
        <f t="shared" ref="Y14" si="61">IF($Q14=TRUE,N14*$D$2,0)</f>
        <v>0</v>
      </c>
      <c r="Z14" s="9">
        <f t="shared" ref="Z14" si="62">IF($Q14=TRUE,O14*$D$2,0)</f>
        <v>0</v>
      </c>
      <c r="AA14" s="9">
        <f t="shared" ref="AA14" si="63">IF($Q14=TRUE,P14*$D$2,0)</f>
        <v>0</v>
      </c>
    </row>
    <row r="15" spans="1:31" x14ac:dyDescent="0.2">
      <c r="A15" s="77"/>
      <c r="B15" s="6" t="s">
        <v>23</v>
      </c>
      <c r="C15" s="7" t="s">
        <v>66</v>
      </c>
      <c r="D15" s="8"/>
      <c r="E15" s="8"/>
      <c r="F15" s="8" t="b">
        <v>0</v>
      </c>
      <c r="G15" s="27"/>
      <c r="H15" s="27">
        <v>30</v>
      </c>
      <c r="I15" s="27"/>
      <c r="J15" s="27"/>
      <c r="K15" s="27"/>
      <c r="L15" s="27"/>
      <c r="M15" s="27"/>
      <c r="N15" s="27"/>
      <c r="O15" s="27"/>
      <c r="P15" s="59"/>
      <c r="Q15" s="32" t="b">
        <f t="shared" si="22"/>
        <v>0</v>
      </c>
      <c r="R15" s="9">
        <f t="shared" ref="R15" si="64">IF($Q15=TRUE,G15*$D$1,0)</f>
        <v>0</v>
      </c>
      <c r="S15" s="9">
        <f t="shared" ref="S15" si="65">IF($Q15=TRUE,H15*$D$1,0)</f>
        <v>0</v>
      </c>
      <c r="T15" s="9">
        <f t="shared" ref="T15" si="66">IF($Q15=TRUE,I15*$D$1,0)</f>
        <v>0</v>
      </c>
      <c r="U15" s="9">
        <f t="shared" ref="U15" si="67">IF($Q15=TRUE,J15*$D$1,0)</f>
        <v>0</v>
      </c>
      <c r="V15" s="9">
        <f t="shared" ref="V15" si="68">IF($Q15=TRUE,K15*$D$1,0)</f>
        <v>0</v>
      </c>
      <c r="W15" s="9">
        <f t="shared" ref="W15" si="69">IF($Q15=TRUE,L15*$D$1,0)</f>
        <v>0</v>
      </c>
      <c r="X15" s="9">
        <f t="shared" ref="X15" si="70">IF($Q15=TRUE,M15*$D$1,0)</f>
        <v>0</v>
      </c>
      <c r="Y15" s="9">
        <f t="shared" ref="Y15" si="71">IF($Q15=TRUE,N15*$D$1,0)</f>
        <v>0</v>
      </c>
      <c r="Z15" s="9">
        <f t="shared" ref="Z15" si="72">IF($Q15=TRUE,O15*$D$1,0)</f>
        <v>0</v>
      </c>
      <c r="AA15" s="9">
        <f t="shared" ref="AA15" si="73">IF($Q15=TRUE,P15*$D$1,0)</f>
        <v>0</v>
      </c>
    </row>
    <row r="16" spans="1:31" x14ac:dyDescent="0.2">
      <c r="A16" s="77"/>
      <c r="B16" s="10" t="s">
        <v>28</v>
      </c>
      <c r="C16" s="11" t="s">
        <v>66</v>
      </c>
      <c r="D16" s="25"/>
      <c r="E16" s="25"/>
      <c r="F16" s="25" t="b">
        <v>0</v>
      </c>
      <c r="G16" s="27"/>
      <c r="H16" s="27">
        <v>75</v>
      </c>
      <c r="I16" s="27"/>
      <c r="J16" s="27"/>
      <c r="K16" s="27"/>
      <c r="L16" s="27"/>
      <c r="M16" s="27"/>
      <c r="N16" s="27"/>
      <c r="O16" s="27"/>
      <c r="P16" s="59"/>
      <c r="Q16" s="33" t="b">
        <f t="shared" si="33"/>
        <v>0</v>
      </c>
      <c r="R16" s="9">
        <f t="shared" ref="R16" si="74">IF($Q16=TRUE,G16*$D$2,0)</f>
        <v>0</v>
      </c>
      <c r="S16" s="9">
        <f t="shared" ref="S16" si="75">IF($Q16=TRUE,H16*$D$2,0)</f>
        <v>0</v>
      </c>
      <c r="T16" s="9">
        <f t="shared" ref="T16" si="76">IF($Q16=TRUE,I16*$D$2,0)</f>
        <v>0</v>
      </c>
      <c r="U16" s="9">
        <f t="shared" ref="U16" si="77">IF($Q16=TRUE,J16*$D$2,0)</f>
        <v>0</v>
      </c>
      <c r="V16" s="9">
        <f t="shared" ref="V16" si="78">IF($Q16=TRUE,K16*$D$2,0)</f>
        <v>0</v>
      </c>
      <c r="W16" s="9">
        <f t="shared" ref="W16" si="79">IF($Q16=TRUE,L16*$D$2,0)</f>
        <v>0</v>
      </c>
      <c r="X16" s="9">
        <f t="shared" ref="X16" si="80">IF($Q16=TRUE,M16*$D$2,0)</f>
        <v>0</v>
      </c>
      <c r="Y16" s="9">
        <f t="shared" ref="Y16" si="81">IF($Q16=TRUE,N16*$D$2,0)</f>
        <v>0</v>
      </c>
      <c r="Z16" s="9">
        <f t="shared" ref="Z16" si="82">IF($Q16=TRUE,O16*$D$2,0)</f>
        <v>0</v>
      </c>
      <c r="AA16" s="9">
        <f t="shared" ref="AA16" si="83">IF($Q16=TRUE,P16*$D$2,0)</f>
        <v>0</v>
      </c>
    </row>
    <row r="17" spans="1:27" x14ac:dyDescent="0.2">
      <c r="A17" s="77"/>
      <c r="B17" s="6" t="s">
        <v>23</v>
      </c>
      <c r="C17" s="7" t="s">
        <v>67</v>
      </c>
      <c r="D17" s="8"/>
      <c r="E17" s="8"/>
      <c r="F17" s="8" t="b">
        <v>0</v>
      </c>
      <c r="G17" s="27"/>
      <c r="H17" s="27">
        <v>45</v>
      </c>
      <c r="I17" s="27"/>
      <c r="J17" s="27"/>
      <c r="K17" s="27"/>
      <c r="L17" s="27"/>
      <c r="M17" s="27"/>
      <c r="N17" s="27"/>
      <c r="O17" s="27"/>
      <c r="P17" s="59"/>
      <c r="Q17" s="32" t="b">
        <f t="shared" si="22"/>
        <v>0</v>
      </c>
      <c r="R17" s="9">
        <f t="shared" ref="R17" si="84">IF($Q17=TRUE,G17*$D$1,0)</f>
        <v>0</v>
      </c>
      <c r="S17" s="9">
        <f t="shared" ref="S17" si="85">IF($Q17=TRUE,H17*$D$1,0)</f>
        <v>0</v>
      </c>
      <c r="T17" s="9">
        <f t="shared" ref="T17" si="86">IF($Q17=TRUE,I17*$D$1,0)</f>
        <v>0</v>
      </c>
      <c r="U17" s="9">
        <f t="shared" ref="U17" si="87">IF($Q17=TRUE,J17*$D$1,0)</f>
        <v>0</v>
      </c>
      <c r="V17" s="9">
        <f t="shared" ref="V17" si="88">IF($Q17=TRUE,K17*$D$1,0)</f>
        <v>0</v>
      </c>
      <c r="W17" s="9">
        <f t="shared" ref="W17" si="89">IF($Q17=TRUE,L17*$D$1,0)</f>
        <v>0</v>
      </c>
      <c r="X17" s="9">
        <f t="shared" ref="X17" si="90">IF($Q17=TRUE,M17*$D$1,0)</f>
        <v>0</v>
      </c>
      <c r="Y17" s="9">
        <f t="shared" ref="Y17" si="91">IF($Q17=TRUE,N17*$D$1,0)</f>
        <v>0</v>
      </c>
      <c r="Z17" s="9">
        <f t="shared" ref="Z17" si="92">IF($Q17=TRUE,O17*$D$1,0)</f>
        <v>0</v>
      </c>
      <c r="AA17" s="9">
        <f t="shared" ref="AA17" si="93">IF($Q17=TRUE,P17*$D$1,0)</f>
        <v>0</v>
      </c>
    </row>
    <row r="18" spans="1:27" x14ac:dyDescent="0.2">
      <c r="A18" s="77"/>
      <c r="B18" s="10" t="s">
        <v>28</v>
      </c>
      <c r="C18" s="11" t="s">
        <v>67</v>
      </c>
      <c r="D18" s="25"/>
      <c r="E18" s="25"/>
      <c r="F18" s="25" t="b">
        <v>0</v>
      </c>
      <c r="G18" s="27"/>
      <c r="H18" s="27">
        <v>100</v>
      </c>
      <c r="I18" s="27"/>
      <c r="J18" s="27"/>
      <c r="K18" s="27"/>
      <c r="L18" s="27"/>
      <c r="M18" s="27"/>
      <c r="N18" s="27"/>
      <c r="O18" s="27"/>
      <c r="P18" s="59"/>
      <c r="Q18" s="33" t="b">
        <f t="shared" si="33"/>
        <v>0</v>
      </c>
      <c r="R18" s="9">
        <f t="shared" ref="R18" si="94">IF($Q18=TRUE,G18*$D$2,0)</f>
        <v>0</v>
      </c>
      <c r="S18" s="9">
        <f t="shared" ref="S18" si="95">IF($Q18=TRUE,H18*$D$2,0)</f>
        <v>0</v>
      </c>
      <c r="T18" s="9">
        <f t="shared" ref="T18" si="96">IF($Q18=TRUE,I18*$D$2,0)</f>
        <v>0</v>
      </c>
      <c r="U18" s="9">
        <f t="shared" ref="U18" si="97">IF($Q18=TRUE,J18*$D$2,0)</f>
        <v>0</v>
      </c>
      <c r="V18" s="9">
        <f t="shared" ref="V18" si="98">IF($Q18=TRUE,K18*$D$2,0)</f>
        <v>0</v>
      </c>
      <c r="W18" s="9">
        <f t="shared" ref="W18" si="99">IF($Q18=TRUE,L18*$D$2,0)</f>
        <v>0</v>
      </c>
      <c r="X18" s="9">
        <f t="shared" ref="X18" si="100">IF($Q18=TRUE,M18*$D$2,0)</f>
        <v>0</v>
      </c>
      <c r="Y18" s="9">
        <f t="shared" ref="Y18" si="101">IF($Q18=TRUE,N18*$D$2,0)</f>
        <v>0</v>
      </c>
      <c r="Z18" s="9">
        <f t="shared" ref="Z18" si="102">IF($Q18=TRUE,O18*$D$2,0)</f>
        <v>0</v>
      </c>
      <c r="AA18" s="9">
        <f t="shared" ref="AA18" si="103">IF($Q18=TRUE,P18*$D$2,0)</f>
        <v>0</v>
      </c>
    </row>
    <row r="19" spans="1:27" x14ac:dyDescent="0.2">
      <c r="A19" s="77"/>
      <c r="B19" s="6" t="s">
        <v>23</v>
      </c>
      <c r="C19" s="7" t="s">
        <v>68</v>
      </c>
      <c r="D19" s="8"/>
      <c r="E19" s="8"/>
      <c r="F19" s="8" t="b">
        <v>0</v>
      </c>
      <c r="G19" s="27"/>
      <c r="H19" s="27"/>
      <c r="I19" s="27"/>
      <c r="J19" s="27">
        <v>19</v>
      </c>
      <c r="K19" s="27"/>
      <c r="L19" s="27"/>
      <c r="M19" s="27"/>
      <c r="N19" s="27"/>
      <c r="O19" s="27"/>
      <c r="P19" s="59"/>
      <c r="Q19" s="32" t="b">
        <f t="shared" si="22"/>
        <v>0</v>
      </c>
      <c r="R19" s="9">
        <f t="shared" ref="R19" si="104">IF($Q19=TRUE,G19*$D$1,0)</f>
        <v>0</v>
      </c>
      <c r="S19" s="9">
        <f t="shared" ref="S19" si="105">IF($Q19=TRUE,H19*$D$1,0)</f>
        <v>0</v>
      </c>
      <c r="T19" s="9">
        <f t="shared" ref="T19" si="106">IF($Q19=TRUE,I19*$D$1,0)</f>
        <v>0</v>
      </c>
      <c r="U19" s="9">
        <f t="shared" ref="U19" si="107">IF($Q19=TRUE,J19*$D$1,0)</f>
        <v>0</v>
      </c>
      <c r="V19" s="9">
        <f t="shared" ref="V19" si="108">IF($Q19=TRUE,K19*$D$1,0)</f>
        <v>0</v>
      </c>
      <c r="W19" s="9">
        <f t="shared" ref="W19" si="109">IF($Q19=TRUE,L19*$D$1,0)</f>
        <v>0</v>
      </c>
      <c r="X19" s="9">
        <f t="shared" ref="X19" si="110">IF($Q19=TRUE,M19*$D$1,0)</f>
        <v>0</v>
      </c>
      <c r="Y19" s="9">
        <f t="shared" ref="Y19" si="111">IF($Q19=TRUE,N19*$D$1,0)</f>
        <v>0</v>
      </c>
      <c r="Z19" s="9">
        <f t="shared" ref="Z19" si="112">IF($Q19=TRUE,O19*$D$1,0)</f>
        <v>0</v>
      </c>
      <c r="AA19" s="9">
        <f t="shared" ref="AA19" si="113">IF($Q19=TRUE,P19*$D$1,0)</f>
        <v>0</v>
      </c>
    </row>
    <row r="20" spans="1:27" x14ac:dyDescent="0.2">
      <c r="A20" s="77"/>
      <c r="B20" s="10" t="s">
        <v>28</v>
      </c>
      <c r="C20" s="11" t="s">
        <v>68</v>
      </c>
      <c r="D20" s="25"/>
      <c r="E20" s="25"/>
      <c r="F20" s="25" t="b">
        <v>0</v>
      </c>
      <c r="G20" s="27"/>
      <c r="H20" s="27"/>
      <c r="I20" s="27"/>
      <c r="J20" s="27">
        <v>25</v>
      </c>
      <c r="K20" s="27"/>
      <c r="L20" s="27"/>
      <c r="M20" s="27"/>
      <c r="N20" s="27"/>
      <c r="O20" s="27"/>
      <c r="P20" s="59"/>
      <c r="Q20" s="33" t="b">
        <f t="shared" si="33"/>
        <v>0</v>
      </c>
      <c r="R20" s="9">
        <f t="shared" ref="R20" si="114">IF($Q20=TRUE,G20*$D$2,0)</f>
        <v>0</v>
      </c>
      <c r="S20" s="9">
        <f t="shared" ref="S20" si="115">IF($Q20=TRUE,H20*$D$2,0)</f>
        <v>0</v>
      </c>
      <c r="T20" s="9">
        <f t="shared" ref="T20" si="116">IF($Q20=TRUE,I20*$D$2,0)</f>
        <v>0</v>
      </c>
      <c r="U20" s="9">
        <f t="shared" ref="U20" si="117">IF($Q20=TRUE,J20*$D$2,0)</f>
        <v>0</v>
      </c>
      <c r="V20" s="9">
        <f t="shared" ref="V20" si="118">IF($Q20=TRUE,K20*$D$2,0)</f>
        <v>0</v>
      </c>
      <c r="W20" s="9">
        <f t="shared" ref="W20" si="119">IF($Q20=TRUE,L20*$D$2,0)</f>
        <v>0</v>
      </c>
      <c r="X20" s="9">
        <f t="shared" ref="X20" si="120">IF($Q20=TRUE,M20*$D$2,0)</f>
        <v>0</v>
      </c>
      <c r="Y20" s="9">
        <f t="shared" ref="Y20" si="121">IF($Q20=TRUE,N20*$D$2,0)</f>
        <v>0</v>
      </c>
      <c r="Z20" s="9">
        <f t="shared" ref="Z20" si="122">IF($Q20=TRUE,O20*$D$2,0)</f>
        <v>0</v>
      </c>
      <c r="AA20" s="9">
        <f t="shared" ref="AA20" si="123">IF($Q20=TRUE,P20*$D$2,0)</f>
        <v>0</v>
      </c>
    </row>
    <row r="21" spans="1:27" x14ac:dyDescent="0.2">
      <c r="A21" s="77"/>
      <c r="B21" s="6" t="s">
        <v>23</v>
      </c>
      <c r="C21" s="7" t="s">
        <v>69</v>
      </c>
      <c r="D21" s="8"/>
      <c r="E21" s="8"/>
      <c r="F21" s="8" t="b">
        <v>0</v>
      </c>
      <c r="G21" s="27"/>
      <c r="H21" s="27"/>
      <c r="I21" s="27"/>
      <c r="J21" s="27">
        <v>18</v>
      </c>
      <c r="K21" s="27"/>
      <c r="L21" s="27"/>
      <c r="M21" s="27"/>
      <c r="N21" s="27"/>
      <c r="O21" s="27"/>
      <c r="P21" s="59"/>
      <c r="Q21" s="32" t="b">
        <f t="shared" si="22"/>
        <v>0</v>
      </c>
      <c r="R21" s="9">
        <f t="shared" ref="R21" si="124">IF($Q21=TRUE,G21*$D$1,0)</f>
        <v>0</v>
      </c>
      <c r="S21" s="9">
        <f t="shared" ref="S21" si="125">IF($Q21=TRUE,H21*$D$1,0)</f>
        <v>0</v>
      </c>
      <c r="T21" s="9">
        <f t="shared" ref="T21" si="126">IF($Q21=TRUE,I21*$D$1,0)</f>
        <v>0</v>
      </c>
      <c r="U21" s="9">
        <f t="shared" ref="U21" si="127">IF($Q21=TRUE,J21*$D$1,0)</f>
        <v>0</v>
      </c>
      <c r="V21" s="9">
        <f t="shared" ref="V21" si="128">IF($Q21=TRUE,K21*$D$1,0)</f>
        <v>0</v>
      </c>
      <c r="W21" s="9">
        <f t="shared" ref="W21" si="129">IF($Q21=TRUE,L21*$D$1,0)</f>
        <v>0</v>
      </c>
      <c r="X21" s="9">
        <f t="shared" ref="X21" si="130">IF($Q21=TRUE,M21*$D$1,0)</f>
        <v>0</v>
      </c>
      <c r="Y21" s="9">
        <f t="shared" ref="Y21" si="131">IF($Q21=TRUE,N21*$D$1,0)</f>
        <v>0</v>
      </c>
      <c r="Z21" s="9">
        <f t="shared" ref="Z21" si="132">IF($Q21=TRUE,O21*$D$1,0)</f>
        <v>0</v>
      </c>
      <c r="AA21" s="9">
        <f t="shared" ref="AA21" si="133">IF($Q21=TRUE,P21*$D$1,0)</f>
        <v>0</v>
      </c>
    </row>
    <row r="22" spans="1:27" x14ac:dyDescent="0.2">
      <c r="A22" s="77"/>
      <c r="B22" s="10" t="s">
        <v>28</v>
      </c>
      <c r="C22" s="11" t="s">
        <v>69</v>
      </c>
      <c r="D22" s="25"/>
      <c r="E22" s="25"/>
      <c r="F22" s="25" t="b">
        <v>0</v>
      </c>
      <c r="G22" s="27"/>
      <c r="H22" s="27"/>
      <c r="I22" s="27"/>
      <c r="J22" s="27">
        <v>24</v>
      </c>
      <c r="K22" s="27"/>
      <c r="L22" s="27"/>
      <c r="M22" s="27"/>
      <c r="N22" s="27"/>
      <c r="O22" s="27"/>
      <c r="P22" s="59"/>
      <c r="Q22" s="33" t="b">
        <f t="shared" si="33"/>
        <v>0</v>
      </c>
      <c r="R22" s="9">
        <f t="shared" ref="R22" si="134">IF($Q22=TRUE,G22*$D$2,0)</f>
        <v>0</v>
      </c>
      <c r="S22" s="9">
        <f t="shared" ref="S22" si="135">IF($Q22=TRUE,H22*$D$2,0)</f>
        <v>0</v>
      </c>
      <c r="T22" s="9">
        <f t="shared" ref="T22" si="136">IF($Q22=TRUE,I22*$D$2,0)</f>
        <v>0</v>
      </c>
      <c r="U22" s="9">
        <f t="shared" ref="U22" si="137">IF($Q22=TRUE,J22*$D$2,0)</f>
        <v>0</v>
      </c>
      <c r="V22" s="9">
        <f t="shared" ref="V22" si="138">IF($Q22=TRUE,K22*$D$2,0)</f>
        <v>0</v>
      </c>
      <c r="W22" s="9">
        <f t="shared" ref="W22" si="139">IF($Q22=TRUE,L22*$D$2,0)</f>
        <v>0</v>
      </c>
      <c r="X22" s="9">
        <f t="shared" ref="X22" si="140">IF($Q22=TRUE,M22*$D$2,0)</f>
        <v>0</v>
      </c>
      <c r="Y22" s="9">
        <f t="shared" ref="Y22" si="141">IF($Q22=TRUE,N22*$D$2,0)</f>
        <v>0</v>
      </c>
      <c r="Z22" s="9">
        <f t="shared" ref="Z22" si="142">IF($Q22=TRUE,O22*$D$2,0)</f>
        <v>0</v>
      </c>
      <c r="AA22" s="9">
        <f t="shared" ref="AA22" si="143">IF($Q22=TRUE,P22*$D$2,0)</f>
        <v>0</v>
      </c>
    </row>
    <row r="23" spans="1:27" x14ac:dyDescent="0.2">
      <c r="A23" s="77"/>
      <c r="B23" s="6" t="s">
        <v>23</v>
      </c>
      <c r="C23" s="7" t="s">
        <v>70</v>
      </c>
      <c r="D23" s="8"/>
      <c r="E23" s="8"/>
      <c r="F23" s="8" t="b">
        <v>0</v>
      </c>
      <c r="G23" s="27"/>
      <c r="H23" s="27"/>
      <c r="I23" s="27"/>
      <c r="J23" s="27">
        <v>28</v>
      </c>
      <c r="K23" s="27"/>
      <c r="L23" s="27"/>
      <c r="M23" s="27"/>
      <c r="N23" s="27"/>
      <c r="O23" s="27"/>
      <c r="P23" s="59"/>
      <c r="Q23" s="32" t="b">
        <f t="shared" si="22"/>
        <v>0</v>
      </c>
      <c r="R23" s="9">
        <f t="shared" ref="R23" si="144">IF($Q23=TRUE,G23*$D$1,0)</f>
        <v>0</v>
      </c>
      <c r="S23" s="9">
        <f t="shared" ref="S23" si="145">IF($Q23=TRUE,H23*$D$1,0)</f>
        <v>0</v>
      </c>
      <c r="T23" s="9">
        <f t="shared" ref="T23" si="146">IF($Q23=TRUE,I23*$D$1,0)</f>
        <v>0</v>
      </c>
      <c r="U23" s="9">
        <f t="shared" ref="U23" si="147">IF($Q23=TRUE,J23*$D$1,0)</f>
        <v>0</v>
      </c>
      <c r="V23" s="9">
        <f t="shared" ref="V23" si="148">IF($Q23=TRUE,K23*$D$1,0)</f>
        <v>0</v>
      </c>
      <c r="W23" s="9">
        <f t="shared" ref="W23" si="149">IF($Q23=TRUE,L23*$D$1,0)</f>
        <v>0</v>
      </c>
      <c r="X23" s="9">
        <f t="shared" ref="X23" si="150">IF($Q23=TRUE,M23*$D$1,0)</f>
        <v>0</v>
      </c>
      <c r="Y23" s="9">
        <f t="shared" ref="Y23" si="151">IF($Q23=TRUE,N23*$D$1,0)</f>
        <v>0</v>
      </c>
      <c r="Z23" s="9">
        <f t="shared" ref="Z23" si="152">IF($Q23=TRUE,O23*$D$1,0)</f>
        <v>0</v>
      </c>
      <c r="AA23" s="9">
        <f t="shared" ref="AA23" si="153">IF($Q23=TRUE,P23*$D$1,0)</f>
        <v>0</v>
      </c>
    </row>
    <row r="24" spans="1:27" x14ac:dyDescent="0.2">
      <c r="A24" s="77"/>
      <c r="B24" s="10" t="s">
        <v>28</v>
      </c>
      <c r="C24" s="11" t="s">
        <v>70</v>
      </c>
      <c r="D24" s="25"/>
      <c r="E24" s="25"/>
      <c r="F24" s="25" t="b">
        <v>0</v>
      </c>
      <c r="G24" s="27"/>
      <c r="H24" s="27"/>
      <c r="I24" s="27"/>
      <c r="J24" s="27">
        <v>43</v>
      </c>
      <c r="K24" s="27"/>
      <c r="L24" s="27"/>
      <c r="M24" s="27"/>
      <c r="N24" s="27"/>
      <c r="O24" s="27"/>
      <c r="P24" s="59"/>
      <c r="Q24" s="33" t="b">
        <f t="shared" si="33"/>
        <v>0</v>
      </c>
      <c r="R24" s="9">
        <f t="shared" ref="R24" si="154">IF($Q24=TRUE,G24*$D$2,0)</f>
        <v>0</v>
      </c>
      <c r="S24" s="9">
        <f t="shared" ref="S24" si="155">IF($Q24=TRUE,H24*$D$2,0)</f>
        <v>0</v>
      </c>
      <c r="T24" s="9">
        <f t="shared" ref="T24" si="156">IF($Q24=TRUE,I24*$D$2,0)</f>
        <v>0</v>
      </c>
      <c r="U24" s="9">
        <f t="shared" ref="U24" si="157">IF($Q24=TRUE,J24*$D$2,0)</f>
        <v>0</v>
      </c>
      <c r="V24" s="9">
        <f t="shared" ref="V24" si="158">IF($Q24=TRUE,K24*$D$2,0)</f>
        <v>0</v>
      </c>
      <c r="W24" s="9">
        <f t="shared" ref="W24" si="159">IF($Q24=TRUE,L24*$D$2,0)</f>
        <v>0</v>
      </c>
      <c r="X24" s="9">
        <f t="shared" ref="X24" si="160">IF($Q24=TRUE,M24*$D$2,0)</f>
        <v>0</v>
      </c>
      <c r="Y24" s="9">
        <f t="shared" ref="Y24" si="161">IF($Q24=TRUE,N24*$D$2,0)</f>
        <v>0</v>
      </c>
      <c r="Z24" s="9">
        <f t="shared" ref="Z24" si="162">IF($Q24=TRUE,O24*$D$2,0)</f>
        <v>0</v>
      </c>
      <c r="AA24" s="9">
        <f t="shared" ref="AA24" si="163">IF($Q24=TRUE,P24*$D$2,0)</f>
        <v>0</v>
      </c>
    </row>
    <row r="25" spans="1:27" x14ac:dyDescent="0.2">
      <c r="A25" s="77"/>
      <c r="B25" s="6" t="s">
        <v>23</v>
      </c>
      <c r="C25" s="7" t="s">
        <v>71</v>
      </c>
      <c r="D25" s="8"/>
      <c r="E25" s="8"/>
      <c r="F25" s="8" t="b">
        <v>0</v>
      </c>
      <c r="G25" s="27"/>
      <c r="H25" s="27"/>
      <c r="I25" s="27"/>
      <c r="J25" s="27">
        <v>28</v>
      </c>
      <c r="K25" s="27"/>
      <c r="L25" s="27"/>
      <c r="M25" s="27"/>
      <c r="N25" s="27"/>
      <c r="O25" s="27"/>
      <c r="P25" s="59"/>
      <c r="Q25" s="32" t="b">
        <f t="shared" si="22"/>
        <v>0</v>
      </c>
      <c r="R25" s="9">
        <f t="shared" ref="R25" si="164">IF($Q25=TRUE,G25*$D$1,0)</f>
        <v>0</v>
      </c>
      <c r="S25" s="9">
        <f t="shared" ref="S25" si="165">IF($Q25=TRUE,H25*$D$1,0)</f>
        <v>0</v>
      </c>
      <c r="T25" s="9">
        <f t="shared" ref="T25" si="166">IF($Q25=TRUE,I25*$D$1,0)</f>
        <v>0</v>
      </c>
      <c r="U25" s="9">
        <f t="shared" ref="U25" si="167">IF($Q25=TRUE,J25*$D$1,0)</f>
        <v>0</v>
      </c>
      <c r="V25" s="9">
        <f t="shared" ref="V25" si="168">IF($Q25=TRUE,K25*$D$1,0)</f>
        <v>0</v>
      </c>
      <c r="W25" s="9">
        <f t="shared" ref="W25" si="169">IF($Q25=TRUE,L25*$D$1,0)</f>
        <v>0</v>
      </c>
      <c r="X25" s="9">
        <f t="shared" ref="X25" si="170">IF($Q25=TRUE,M25*$D$1,0)</f>
        <v>0</v>
      </c>
      <c r="Y25" s="9">
        <f t="shared" ref="Y25" si="171">IF($Q25=TRUE,N25*$D$1,0)</f>
        <v>0</v>
      </c>
      <c r="Z25" s="9">
        <f t="shared" ref="Z25" si="172">IF($Q25=TRUE,O25*$D$1,0)</f>
        <v>0</v>
      </c>
      <c r="AA25" s="9">
        <f t="shared" ref="AA25" si="173">IF($Q25=TRUE,P25*$D$1,0)</f>
        <v>0</v>
      </c>
    </row>
    <row r="26" spans="1:27" x14ac:dyDescent="0.2">
      <c r="A26" s="77"/>
      <c r="B26" s="10" t="s">
        <v>28</v>
      </c>
      <c r="C26" s="11" t="s">
        <v>71</v>
      </c>
      <c r="D26" s="25"/>
      <c r="E26" s="25"/>
      <c r="F26" s="25" t="b">
        <v>0</v>
      </c>
      <c r="G26" s="27"/>
      <c r="H26" s="27"/>
      <c r="I26" s="27"/>
      <c r="J26" s="27">
        <v>43</v>
      </c>
      <c r="K26" s="27"/>
      <c r="L26" s="27"/>
      <c r="M26" s="27"/>
      <c r="N26" s="27"/>
      <c r="O26" s="27"/>
      <c r="P26" s="59"/>
      <c r="Q26" s="33" t="b">
        <f t="shared" si="33"/>
        <v>0</v>
      </c>
      <c r="R26" s="9">
        <f t="shared" ref="R26" si="174">IF($Q26=TRUE,G26*$D$2,0)</f>
        <v>0</v>
      </c>
      <c r="S26" s="9">
        <f t="shared" ref="S26" si="175">IF($Q26=TRUE,H26*$D$2,0)</f>
        <v>0</v>
      </c>
      <c r="T26" s="9">
        <f t="shared" ref="T26" si="176">IF($Q26=TRUE,I26*$D$2,0)</f>
        <v>0</v>
      </c>
      <c r="U26" s="9">
        <f t="shared" ref="U26" si="177">IF($Q26=TRUE,J26*$D$2,0)</f>
        <v>0</v>
      </c>
      <c r="V26" s="9">
        <f t="shared" ref="V26" si="178">IF($Q26=TRUE,K26*$D$2,0)</f>
        <v>0</v>
      </c>
      <c r="W26" s="9">
        <f t="shared" ref="W26" si="179">IF($Q26=TRUE,L26*$D$2,0)</f>
        <v>0</v>
      </c>
      <c r="X26" s="9">
        <f t="shared" ref="X26" si="180">IF($Q26=TRUE,M26*$D$2,0)</f>
        <v>0</v>
      </c>
      <c r="Y26" s="9">
        <f t="shared" ref="Y26" si="181">IF($Q26=TRUE,N26*$D$2,0)</f>
        <v>0</v>
      </c>
      <c r="Z26" s="9">
        <f t="shared" ref="Z26" si="182">IF($Q26=TRUE,O26*$D$2,0)</f>
        <v>0</v>
      </c>
      <c r="AA26" s="9">
        <f t="shared" ref="AA26" si="183">IF($Q26=TRUE,P26*$D$2,0)</f>
        <v>0</v>
      </c>
    </row>
    <row r="27" spans="1:27" x14ac:dyDescent="0.2">
      <c r="A27" s="77"/>
      <c r="B27" s="6" t="s">
        <v>23</v>
      </c>
      <c r="C27" s="7" t="s">
        <v>72</v>
      </c>
      <c r="D27" s="8"/>
      <c r="E27" s="8"/>
      <c r="F27" s="8" t="b">
        <v>0</v>
      </c>
      <c r="G27" s="27"/>
      <c r="H27" s="27"/>
      <c r="I27" s="27"/>
      <c r="J27" s="27">
        <v>15</v>
      </c>
      <c r="K27" s="27"/>
      <c r="L27" s="27"/>
      <c r="M27" s="27"/>
      <c r="N27" s="27"/>
      <c r="O27" s="27"/>
      <c r="P27" s="59"/>
      <c r="Q27" s="32" t="b">
        <f t="shared" si="22"/>
        <v>0</v>
      </c>
      <c r="R27" s="9">
        <f t="shared" ref="R27" si="184">IF($Q27=TRUE,G27*$D$1,0)</f>
        <v>0</v>
      </c>
      <c r="S27" s="9">
        <f t="shared" ref="S27" si="185">IF($Q27=TRUE,H27*$D$1,0)</f>
        <v>0</v>
      </c>
      <c r="T27" s="9">
        <f t="shared" ref="T27" si="186">IF($Q27=TRUE,I27*$D$1,0)</f>
        <v>0</v>
      </c>
      <c r="U27" s="9">
        <f t="shared" ref="U27" si="187">IF($Q27=TRUE,J27*$D$1,0)</f>
        <v>0</v>
      </c>
      <c r="V27" s="9">
        <f t="shared" ref="V27" si="188">IF($Q27=TRUE,K27*$D$1,0)</f>
        <v>0</v>
      </c>
      <c r="W27" s="9">
        <f t="shared" ref="W27" si="189">IF($Q27=TRUE,L27*$D$1,0)</f>
        <v>0</v>
      </c>
      <c r="X27" s="9">
        <f t="shared" ref="X27" si="190">IF($Q27=TRUE,M27*$D$1,0)</f>
        <v>0</v>
      </c>
      <c r="Y27" s="9">
        <f t="shared" ref="Y27" si="191">IF($Q27=TRUE,N27*$D$1,0)</f>
        <v>0</v>
      </c>
      <c r="Z27" s="9">
        <f t="shared" ref="Z27" si="192">IF($Q27=TRUE,O27*$D$1,0)</f>
        <v>0</v>
      </c>
      <c r="AA27" s="9">
        <f t="shared" ref="AA27" si="193">IF($Q27=TRUE,P27*$D$1,0)</f>
        <v>0</v>
      </c>
    </row>
    <row r="28" spans="1:27" x14ac:dyDescent="0.2">
      <c r="A28" s="77"/>
      <c r="B28" s="10" t="s">
        <v>28</v>
      </c>
      <c r="C28" s="11" t="s">
        <v>72</v>
      </c>
      <c r="D28" s="25"/>
      <c r="E28" s="25"/>
      <c r="F28" s="25" t="b">
        <v>0</v>
      </c>
      <c r="G28" s="27"/>
      <c r="H28" s="27"/>
      <c r="I28" s="27"/>
      <c r="J28" s="27">
        <v>35</v>
      </c>
      <c r="K28" s="27"/>
      <c r="L28" s="27"/>
      <c r="M28" s="27"/>
      <c r="N28" s="27"/>
      <c r="O28" s="27"/>
      <c r="P28" s="59"/>
      <c r="Q28" s="33" t="b">
        <f t="shared" si="33"/>
        <v>0</v>
      </c>
      <c r="R28" s="9">
        <f t="shared" ref="R28" si="194">IF($Q28=TRUE,G28*$D$2,0)</f>
        <v>0</v>
      </c>
      <c r="S28" s="9">
        <f t="shared" ref="S28" si="195">IF($Q28=TRUE,H28*$D$2,0)</f>
        <v>0</v>
      </c>
      <c r="T28" s="9">
        <f t="shared" ref="T28" si="196">IF($Q28=TRUE,I28*$D$2,0)</f>
        <v>0</v>
      </c>
      <c r="U28" s="9">
        <f t="shared" ref="U28" si="197">IF($Q28=TRUE,J28*$D$2,0)</f>
        <v>0</v>
      </c>
      <c r="V28" s="9">
        <f t="shared" ref="V28" si="198">IF($Q28=TRUE,K28*$D$2,0)</f>
        <v>0</v>
      </c>
      <c r="W28" s="9">
        <f t="shared" ref="W28" si="199">IF($Q28=TRUE,L28*$D$2,0)</f>
        <v>0</v>
      </c>
      <c r="X28" s="9">
        <f t="shared" ref="X28" si="200">IF($Q28=TRUE,M28*$D$2,0)</f>
        <v>0</v>
      </c>
      <c r="Y28" s="9">
        <f t="shared" ref="Y28" si="201">IF($Q28=TRUE,N28*$D$2,0)</f>
        <v>0</v>
      </c>
      <c r="Z28" s="9">
        <f t="shared" ref="Z28" si="202">IF($Q28=TRUE,O28*$D$2,0)</f>
        <v>0</v>
      </c>
      <c r="AA28" s="9">
        <f t="shared" ref="AA28" si="203">IF($Q28=TRUE,P28*$D$2,0)</f>
        <v>0</v>
      </c>
    </row>
    <row r="29" spans="1:27" x14ac:dyDescent="0.2">
      <c r="A29" s="77"/>
      <c r="B29" s="6" t="s">
        <v>23</v>
      </c>
      <c r="C29" s="7" t="s">
        <v>73</v>
      </c>
      <c r="D29" s="8"/>
      <c r="E29" s="8"/>
      <c r="F29" s="8" t="b">
        <v>0</v>
      </c>
      <c r="G29" s="27"/>
      <c r="H29" s="27"/>
      <c r="I29" s="27"/>
      <c r="J29" s="27">
        <v>29</v>
      </c>
      <c r="K29" s="27"/>
      <c r="L29" s="27"/>
      <c r="M29" s="27"/>
      <c r="N29" s="27"/>
      <c r="O29" s="27"/>
      <c r="P29" s="59"/>
      <c r="Q29" s="32" t="b">
        <f t="shared" si="22"/>
        <v>0</v>
      </c>
      <c r="R29" s="9">
        <f t="shared" ref="R29" si="204">IF($Q29=TRUE,G29*$D$1,0)</f>
        <v>0</v>
      </c>
      <c r="S29" s="9">
        <f t="shared" ref="S29" si="205">IF($Q29=TRUE,H29*$D$1,0)</f>
        <v>0</v>
      </c>
      <c r="T29" s="9">
        <f t="shared" ref="T29" si="206">IF($Q29=TRUE,I29*$D$1,0)</f>
        <v>0</v>
      </c>
      <c r="U29" s="9">
        <f t="shared" ref="U29" si="207">IF($Q29=TRUE,J29*$D$1,0)</f>
        <v>0</v>
      </c>
      <c r="V29" s="9">
        <f t="shared" ref="V29" si="208">IF($Q29=TRUE,K29*$D$1,0)</f>
        <v>0</v>
      </c>
      <c r="W29" s="9">
        <f t="shared" ref="W29" si="209">IF($Q29=TRUE,L29*$D$1,0)</f>
        <v>0</v>
      </c>
      <c r="X29" s="9">
        <f t="shared" ref="X29" si="210">IF($Q29=TRUE,M29*$D$1,0)</f>
        <v>0</v>
      </c>
      <c r="Y29" s="9">
        <f t="shared" ref="Y29" si="211">IF($Q29=TRUE,N29*$D$1,0)</f>
        <v>0</v>
      </c>
      <c r="Z29" s="9">
        <f t="shared" ref="Z29" si="212">IF($Q29=TRUE,O29*$D$1,0)</f>
        <v>0</v>
      </c>
      <c r="AA29" s="9">
        <f t="shared" ref="AA29" si="213">IF($Q29=TRUE,P29*$D$1,0)</f>
        <v>0</v>
      </c>
    </row>
    <row r="30" spans="1:27" x14ac:dyDescent="0.2">
      <c r="A30" s="77"/>
      <c r="B30" s="10" t="s">
        <v>28</v>
      </c>
      <c r="C30" s="11" t="s">
        <v>73</v>
      </c>
      <c r="D30" s="25"/>
      <c r="E30" s="25"/>
      <c r="F30" s="25" t="b">
        <v>0</v>
      </c>
      <c r="G30" s="27"/>
      <c r="H30" s="27"/>
      <c r="I30" s="27"/>
      <c r="J30" s="27">
        <v>50</v>
      </c>
      <c r="K30" s="27"/>
      <c r="L30" s="27"/>
      <c r="M30" s="27"/>
      <c r="N30" s="27"/>
      <c r="O30" s="27"/>
      <c r="P30" s="59"/>
      <c r="Q30" s="33" t="b">
        <f t="shared" si="33"/>
        <v>0</v>
      </c>
      <c r="R30" s="9">
        <f t="shared" ref="R30" si="214">IF($Q30=TRUE,G30*$D$2,0)</f>
        <v>0</v>
      </c>
      <c r="S30" s="9">
        <f t="shared" ref="S30" si="215">IF($Q30=TRUE,H30*$D$2,0)</f>
        <v>0</v>
      </c>
      <c r="T30" s="9">
        <f t="shared" ref="T30" si="216">IF($Q30=TRUE,I30*$D$2,0)</f>
        <v>0</v>
      </c>
      <c r="U30" s="9">
        <f t="shared" ref="U30" si="217">IF($Q30=TRUE,J30*$D$2,0)</f>
        <v>0</v>
      </c>
      <c r="V30" s="9">
        <f t="shared" ref="V30" si="218">IF($Q30=TRUE,K30*$D$2,0)</f>
        <v>0</v>
      </c>
      <c r="W30" s="9">
        <f t="shared" ref="W30" si="219">IF($Q30=TRUE,L30*$D$2,0)</f>
        <v>0</v>
      </c>
      <c r="X30" s="9">
        <f t="shared" ref="X30" si="220">IF($Q30=TRUE,M30*$D$2,0)</f>
        <v>0</v>
      </c>
      <c r="Y30" s="9">
        <f t="shared" ref="Y30" si="221">IF($Q30=TRUE,N30*$D$2,0)</f>
        <v>0</v>
      </c>
      <c r="Z30" s="9">
        <f t="shared" ref="Z30" si="222">IF($Q30=TRUE,O30*$D$2,0)</f>
        <v>0</v>
      </c>
      <c r="AA30" s="9">
        <f t="shared" ref="AA30" si="223">IF($Q30=TRUE,P30*$D$2,0)</f>
        <v>0</v>
      </c>
    </row>
    <row r="31" spans="1:27" x14ac:dyDescent="0.2">
      <c r="A31" s="77"/>
      <c r="B31" s="6" t="s">
        <v>23</v>
      </c>
      <c r="C31" s="7" t="s">
        <v>74</v>
      </c>
      <c r="D31" s="8"/>
      <c r="E31" s="8"/>
      <c r="F31" s="8" t="b">
        <v>0</v>
      </c>
      <c r="G31" s="27"/>
      <c r="H31" s="27"/>
      <c r="I31" s="27"/>
      <c r="J31" s="27">
        <v>29</v>
      </c>
      <c r="K31" s="27"/>
      <c r="L31" s="27"/>
      <c r="M31" s="27"/>
      <c r="N31" s="27"/>
      <c r="O31" s="27"/>
      <c r="P31" s="59"/>
      <c r="Q31" s="32" t="b">
        <f t="shared" si="22"/>
        <v>0</v>
      </c>
      <c r="R31" s="9">
        <f t="shared" ref="R31" si="224">IF($Q31=TRUE,G31*$D$1,0)</f>
        <v>0</v>
      </c>
      <c r="S31" s="9">
        <f t="shared" ref="S31" si="225">IF($Q31=TRUE,H31*$D$1,0)</f>
        <v>0</v>
      </c>
      <c r="T31" s="9">
        <f t="shared" ref="T31" si="226">IF($Q31=TRUE,I31*$D$1,0)</f>
        <v>0</v>
      </c>
      <c r="U31" s="9">
        <f t="shared" ref="U31" si="227">IF($Q31=TRUE,J31*$D$1,0)</f>
        <v>0</v>
      </c>
      <c r="V31" s="9">
        <f t="shared" ref="V31" si="228">IF($Q31=TRUE,K31*$D$1,0)</f>
        <v>0</v>
      </c>
      <c r="W31" s="9">
        <f t="shared" ref="W31" si="229">IF($Q31=TRUE,L31*$D$1,0)</f>
        <v>0</v>
      </c>
      <c r="X31" s="9">
        <f t="shared" ref="X31" si="230">IF($Q31=TRUE,M31*$D$1,0)</f>
        <v>0</v>
      </c>
      <c r="Y31" s="9">
        <f t="shared" ref="Y31" si="231">IF($Q31=TRUE,N31*$D$1,0)</f>
        <v>0</v>
      </c>
      <c r="Z31" s="9">
        <f t="shared" ref="Z31" si="232">IF($Q31=TRUE,O31*$D$1,0)</f>
        <v>0</v>
      </c>
      <c r="AA31" s="9">
        <f t="shared" ref="AA31" si="233">IF($Q31=TRUE,P31*$D$1,0)</f>
        <v>0</v>
      </c>
    </row>
    <row r="32" spans="1:27" x14ac:dyDescent="0.2">
      <c r="A32" s="77"/>
      <c r="B32" s="10" t="s">
        <v>28</v>
      </c>
      <c r="C32" s="11" t="s">
        <v>74</v>
      </c>
      <c r="D32" s="12"/>
      <c r="E32" s="25"/>
      <c r="F32" s="25" t="b">
        <v>0</v>
      </c>
      <c r="G32" s="27"/>
      <c r="H32" s="27"/>
      <c r="I32" s="27"/>
      <c r="J32" s="27">
        <v>50</v>
      </c>
      <c r="K32" s="27"/>
      <c r="L32" s="27"/>
      <c r="M32" s="27"/>
      <c r="N32" s="27"/>
      <c r="O32" s="27"/>
      <c r="P32" s="59"/>
      <c r="Q32" s="33" t="b">
        <f t="shared" si="33"/>
        <v>0</v>
      </c>
      <c r="R32" s="9">
        <f t="shared" ref="R32" si="234">IF($Q32=TRUE,G32*$D$2,0)</f>
        <v>0</v>
      </c>
      <c r="S32" s="9">
        <f t="shared" ref="S32" si="235">IF($Q32=TRUE,H32*$D$2,0)</f>
        <v>0</v>
      </c>
      <c r="T32" s="9">
        <f t="shared" ref="T32" si="236">IF($Q32=TRUE,I32*$D$2,0)</f>
        <v>0</v>
      </c>
      <c r="U32" s="9">
        <f t="shared" ref="U32" si="237">IF($Q32=TRUE,J32*$D$2,0)</f>
        <v>0</v>
      </c>
      <c r="V32" s="9">
        <f t="shared" ref="V32" si="238">IF($Q32=TRUE,K32*$D$2,0)</f>
        <v>0</v>
      </c>
      <c r="W32" s="9">
        <f t="shared" ref="W32" si="239">IF($Q32=TRUE,L32*$D$2,0)</f>
        <v>0</v>
      </c>
      <c r="X32" s="9">
        <f t="shared" ref="X32" si="240">IF($Q32=TRUE,M32*$D$2,0)</f>
        <v>0</v>
      </c>
      <c r="Y32" s="9">
        <f t="shared" ref="Y32" si="241">IF($Q32=TRUE,N32*$D$2,0)</f>
        <v>0</v>
      </c>
      <c r="Z32" s="9">
        <f t="shared" ref="Z32" si="242">IF($Q32=TRUE,O32*$D$2,0)</f>
        <v>0</v>
      </c>
      <c r="AA32" s="9">
        <f t="shared" ref="AA32" si="243">IF($Q32=TRUE,P32*$D$2,0)</f>
        <v>0</v>
      </c>
    </row>
    <row r="33" spans="1:27" x14ac:dyDescent="0.2">
      <c r="A33" s="77"/>
      <c r="B33" s="6" t="s">
        <v>23</v>
      </c>
      <c r="C33" s="7" t="s">
        <v>75</v>
      </c>
      <c r="D33" s="8"/>
      <c r="E33" s="8"/>
      <c r="F33" s="8" t="b">
        <v>0</v>
      </c>
      <c r="G33" s="27"/>
      <c r="H33" s="27"/>
      <c r="I33" s="27"/>
      <c r="J33" s="27">
        <v>23</v>
      </c>
      <c r="K33" s="27"/>
      <c r="L33" s="27"/>
      <c r="M33" s="27"/>
      <c r="N33" s="27"/>
      <c r="O33" s="27"/>
      <c r="P33" s="59"/>
      <c r="Q33" s="32" t="b">
        <f t="shared" si="22"/>
        <v>0</v>
      </c>
      <c r="R33" s="9">
        <f t="shared" ref="R33" si="244">IF($Q33=TRUE,G33*$D$1,0)</f>
        <v>0</v>
      </c>
      <c r="S33" s="9">
        <f t="shared" ref="S33" si="245">IF($Q33=TRUE,H33*$D$1,0)</f>
        <v>0</v>
      </c>
      <c r="T33" s="9">
        <f t="shared" ref="T33" si="246">IF($Q33=TRUE,I33*$D$1,0)</f>
        <v>0</v>
      </c>
      <c r="U33" s="9">
        <f t="shared" ref="U33" si="247">IF($Q33=TRUE,J33*$D$1,0)</f>
        <v>0</v>
      </c>
      <c r="V33" s="9">
        <f t="shared" ref="V33" si="248">IF($Q33=TRUE,K33*$D$1,0)</f>
        <v>0</v>
      </c>
      <c r="W33" s="9">
        <f t="shared" ref="W33" si="249">IF($Q33=TRUE,L33*$D$1,0)</f>
        <v>0</v>
      </c>
      <c r="X33" s="9">
        <f t="shared" ref="X33" si="250">IF($Q33=TRUE,M33*$D$1,0)</f>
        <v>0</v>
      </c>
      <c r="Y33" s="9">
        <f t="shared" ref="Y33" si="251">IF($Q33=TRUE,N33*$D$1,0)</f>
        <v>0</v>
      </c>
      <c r="Z33" s="9">
        <f t="shared" ref="Z33" si="252">IF($Q33=TRUE,O33*$D$1,0)</f>
        <v>0</v>
      </c>
      <c r="AA33" s="9">
        <f t="shared" ref="AA33" si="253">IF($Q33=TRUE,P33*$D$1,0)</f>
        <v>0</v>
      </c>
    </row>
    <row r="34" spans="1:27" x14ac:dyDescent="0.2">
      <c r="A34" s="77"/>
      <c r="B34" s="10" t="s">
        <v>28</v>
      </c>
      <c r="C34" s="11" t="s">
        <v>75</v>
      </c>
      <c r="D34" s="12"/>
      <c r="E34" s="25"/>
      <c r="F34" s="25" t="b">
        <v>0</v>
      </c>
      <c r="G34" s="27"/>
      <c r="H34" s="27"/>
      <c r="I34" s="27"/>
      <c r="J34" s="27">
        <v>50</v>
      </c>
      <c r="K34" s="27"/>
      <c r="L34" s="27"/>
      <c r="M34" s="27"/>
      <c r="N34" s="27"/>
      <c r="O34" s="27"/>
      <c r="P34" s="59"/>
      <c r="Q34" s="33" t="b">
        <f t="shared" si="33"/>
        <v>0</v>
      </c>
      <c r="R34" s="9">
        <f t="shared" ref="R34" si="254">IF($Q34=TRUE,G34*$D$2,0)</f>
        <v>0</v>
      </c>
      <c r="S34" s="9">
        <f t="shared" ref="S34" si="255">IF($Q34=TRUE,H34*$D$2,0)</f>
        <v>0</v>
      </c>
      <c r="T34" s="9">
        <f t="shared" ref="T34" si="256">IF($Q34=TRUE,I34*$D$2,0)</f>
        <v>0</v>
      </c>
      <c r="U34" s="9">
        <f t="shared" ref="U34" si="257">IF($Q34=TRUE,J34*$D$2,0)</f>
        <v>0</v>
      </c>
      <c r="V34" s="9">
        <f t="shared" ref="V34" si="258">IF($Q34=TRUE,K34*$D$2,0)</f>
        <v>0</v>
      </c>
      <c r="W34" s="9">
        <f t="shared" ref="W34" si="259">IF($Q34=TRUE,L34*$D$2,0)</f>
        <v>0</v>
      </c>
      <c r="X34" s="9">
        <f t="shared" ref="X34" si="260">IF($Q34=TRUE,M34*$D$2,0)</f>
        <v>0</v>
      </c>
      <c r="Y34" s="9">
        <f t="shared" ref="Y34" si="261">IF($Q34=TRUE,N34*$D$2,0)</f>
        <v>0</v>
      </c>
      <c r="Z34" s="9">
        <f t="shared" ref="Z34" si="262">IF($Q34=TRUE,O34*$D$2,0)</f>
        <v>0</v>
      </c>
      <c r="AA34" s="9">
        <f t="shared" ref="AA34" si="263">IF($Q34=TRUE,P34*$D$2,0)</f>
        <v>0</v>
      </c>
    </row>
    <row r="35" spans="1:27" x14ac:dyDescent="0.2">
      <c r="A35" s="77"/>
      <c r="B35" s="6" t="s">
        <v>23</v>
      </c>
      <c r="C35" s="7" t="s">
        <v>76</v>
      </c>
      <c r="D35" s="8"/>
      <c r="E35" s="8"/>
      <c r="F35" s="8" t="b">
        <v>0</v>
      </c>
      <c r="G35" s="27"/>
      <c r="H35" s="27"/>
      <c r="I35" s="27"/>
      <c r="J35" s="27">
        <v>24</v>
      </c>
      <c r="K35" s="27"/>
      <c r="L35" s="27"/>
      <c r="M35" s="27"/>
      <c r="N35" s="27"/>
      <c r="O35" s="27"/>
      <c r="P35" s="59"/>
      <c r="Q35" s="32" t="b">
        <f t="shared" si="22"/>
        <v>0</v>
      </c>
      <c r="R35" s="9">
        <f t="shared" ref="R35" si="264">IF($Q35=TRUE,G35*$D$1,0)</f>
        <v>0</v>
      </c>
      <c r="S35" s="9">
        <f t="shared" ref="S35" si="265">IF($Q35=TRUE,H35*$D$1,0)</f>
        <v>0</v>
      </c>
      <c r="T35" s="9">
        <f t="shared" ref="T35" si="266">IF($Q35=TRUE,I35*$D$1,0)</f>
        <v>0</v>
      </c>
      <c r="U35" s="9">
        <f t="shared" ref="U35" si="267">IF($Q35=TRUE,J35*$D$1,0)</f>
        <v>0</v>
      </c>
      <c r="V35" s="9">
        <f t="shared" ref="V35" si="268">IF($Q35=TRUE,K35*$D$1,0)</f>
        <v>0</v>
      </c>
      <c r="W35" s="9">
        <f t="shared" ref="W35" si="269">IF($Q35=TRUE,L35*$D$1,0)</f>
        <v>0</v>
      </c>
      <c r="X35" s="9">
        <f t="shared" ref="X35" si="270">IF($Q35=TRUE,M35*$D$1,0)</f>
        <v>0</v>
      </c>
      <c r="Y35" s="9">
        <f t="shared" ref="Y35" si="271">IF($Q35=TRUE,N35*$D$1,0)</f>
        <v>0</v>
      </c>
      <c r="Z35" s="9">
        <f t="shared" ref="Z35" si="272">IF($Q35=TRUE,O35*$D$1,0)</f>
        <v>0</v>
      </c>
      <c r="AA35" s="9">
        <f t="shared" ref="AA35" si="273">IF($Q35=TRUE,P35*$D$1,0)</f>
        <v>0</v>
      </c>
    </row>
    <row r="36" spans="1:27" x14ac:dyDescent="0.2">
      <c r="A36" s="77"/>
      <c r="B36" s="10" t="s">
        <v>28</v>
      </c>
      <c r="C36" s="11" t="s">
        <v>76</v>
      </c>
      <c r="D36" s="12"/>
      <c r="E36" s="25"/>
      <c r="F36" s="25" t="b">
        <v>0</v>
      </c>
      <c r="G36" s="27"/>
      <c r="H36" s="27"/>
      <c r="I36" s="27"/>
      <c r="J36" s="27">
        <v>36</v>
      </c>
      <c r="K36" s="27"/>
      <c r="L36" s="27"/>
      <c r="M36" s="27"/>
      <c r="N36" s="27"/>
      <c r="O36" s="27"/>
      <c r="P36" s="59"/>
      <c r="Q36" s="33" t="b">
        <f t="shared" si="33"/>
        <v>0</v>
      </c>
      <c r="R36" s="9">
        <f t="shared" ref="R36" si="274">IF($Q36=TRUE,G36*$D$2,0)</f>
        <v>0</v>
      </c>
      <c r="S36" s="9">
        <f t="shared" ref="S36" si="275">IF($Q36=TRUE,H36*$D$2,0)</f>
        <v>0</v>
      </c>
      <c r="T36" s="9">
        <f t="shared" ref="T36" si="276">IF($Q36=TRUE,I36*$D$2,0)</f>
        <v>0</v>
      </c>
      <c r="U36" s="9">
        <f t="shared" ref="U36" si="277">IF($Q36=TRUE,J36*$D$2,0)</f>
        <v>0</v>
      </c>
      <c r="V36" s="9">
        <f t="shared" ref="V36" si="278">IF($Q36=TRUE,K36*$D$2,0)</f>
        <v>0</v>
      </c>
      <c r="W36" s="9">
        <f t="shared" ref="W36" si="279">IF($Q36=TRUE,L36*$D$2,0)</f>
        <v>0</v>
      </c>
      <c r="X36" s="9">
        <f t="shared" ref="X36" si="280">IF($Q36=TRUE,M36*$D$2,0)</f>
        <v>0</v>
      </c>
      <c r="Y36" s="9">
        <f t="shared" ref="Y36" si="281">IF($Q36=TRUE,N36*$D$2,0)</f>
        <v>0</v>
      </c>
      <c r="Z36" s="9">
        <f t="shared" ref="Z36" si="282">IF($Q36=TRUE,O36*$D$2,0)</f>
        <v>0</v>
      </c>
      <c r="AA36" s="9">
        <f t="shared" ref="AA36" si="283">IF($Q36=TRUE,P36*$D$2,0)</f>
        <v>0</v>
      </c>
    </row>
    <row r="37" spans="1:27" x14ac:dyDescent="0.2">
      <c r="A37" s="77"/>
      <c r="B37" s="6" t="s">
        <v>23</v>
      </c>
      <c r="C37" s="7" t="s">
        <v>77</v>
      </c>
      <c r="D37" s="8"/>
      <c r="E37" s="8"/>
      <c r="F37" s="8" t="b">
        <v>0</v>
      </c>
      <c r="G37" s="27"/>
      <c r="H37" s="27"/>
      <c r="I37" s="27"/>
      <c r="J37" s="27">
        <v>15</v>
      </c>
      <c r="K37" s="27"/>
      <c r="L37" s="27"/>
      <c r="M37" s="27"/>
      <c r="N37" s="27"/>
      <c r="O37" s="27"/>
      <c r="P37" s="59"/>
      <c r="Q37" s="32" t="b">
        <f t="shared" si="22"/>
        <v>0</v>
      </c>
      <c r="R37" s="9">
        <f t="shared" ref="R37" si="284">IF($Q37=TRUE,G37*$D$1,0)</f>
        <v>0</v>
      </c>
      <c r="S37" s="9">
        <f t="shared" ref="S37" si="285">IF($Q37=TRUE,H37*$D$1,0)</f>
        <v>0</v>
      </c>
      <c r="T37" s="9">
        <f t="shared" ref="T37" si="286">IF($Q37=TRUE,I37*$D$1,0)</f>
        <v>0</v>
      </c>
      <c r="U37" s="9">
        <f t="shared" ref="U37" si="287">IF($Q37=TRUE,J37*$D$1,0)</f>
        <v>0</v>
      </c>
      <c r="V37" s="9">
        <f t="shared" ref="V37" si="288">IF($Q37=TRUE,K37*$D$1,0)</f>
        <v>0</v>
      </c>
      <c r="W37" s="9">
        <f t="shared" ref="W37" si="289">IF($Q37=TRUE,L37*$D$1,0)</f>
        <v>0</v>
      </c>
      <c r="X37" s="9">
        <f t="shared" ref="X37" si="290">IF($Q37=TRUE,M37*$D$1,0)</f>
        <v>0</v>
      </c>
      <c r="Y37" s="9">
        <f t="shared" ref="Y37" si="291">IF($Q37=TRUE,N37*$D$1,0)</f>
        <v>0</v>
      </c>
      <c r="Z37" s="9">
        <f t="shared" ref="Z37" si="292">IF($Q37=TRUE,O37*$D$1,0)</f>
        <v>0</v>
      </c>
      <c r="AA37" s="9">
        <f t="shared" ref="AA37" si="293">IF($Q37=TRUE,P37*$D$1,0)</f>
        <v>0</v>
      </c>
    </row>
    <row r="38" spans="1:27" x14ac:dyDescent="0.2">
      <c r="A38" s="77"/>
      <c r="B38" s="10" t="s">
        <v>28</v>
      </c>
      <c r="C38" s="11" t="s">
        <v>77</v>
      </c>
      <c r="D38" s="12"/>
      <c r="E38" s="25"/>
      <c r="F38" s="25" t="b">
        <v>0</v>
      </c>
      <c r="G38" s="27"/>
      <c r="H38" s="27"/>
      <c r="I38" s="27"/>
      <c r="J38" s="27">
        <v>35</v>
      </c>
      <c r="K38" s="27"/>
      <c r="L38" s="27"/>
      <c r="M38" s="27"/>
      <c r="N38" s="27"/>
      <c r="O38" s="27"/>
      <c r="P38" s="59"/>
      <c r="Q38" s="33" t="b">
        <f t="shared" si="33"/>
        <v>0</v>
      </c>
      <c r="R38" s="9">
        <f t="shared" ref="R38" si="294">IF($Q38=TRUE,G38*$D$2,0)</f>
        <v>0</v>
      </c>
      <c r="S38" s="9">
        <f t="shared" ref="S38" si="295">IF($Q38=TRUE,H38*$D$2,0)</f>
        <v>0</v>
      </c>
      <c r="T38" s="9">
        <f t="shared" ref="T38" si="296">IF($Q38=TRUE,I38*$D$2,0)</f>
        <v>0</v>
      </c>
      <c r="U38" s="9">
        <f t="shared" ref="U38" si="297">IF($Q38=TRUE,J38*$D$2,0)</f>
        <v>0</v>
      </c>
      <c r="V38" s="9">
        <f t="shared" ref="V38" si="298">IF($Q38=TRUE,K38*$D$2,0)</f>
        <v>0</v>
      </c>
      <c r="W38" s="9">
        <f t="shared" ref="W38" si="299">IF($Q38=TRUE,L38*$D$2,0)</f>
        <v>0</v>
      </c>
      <c r="X38" s="9">
        <f t="shared" ref="X38" si="300">IF($Q38=TRUE,M38*$D$2,0)</f>
        <v>0</v>
      </c>
      <c r="Y38" s="9">
        <f t="shared" ref="Y38" si="301">IF($Q38=TRUE,N38*$D$2,0)</f>
        <v>0</v>
      </c>
      <c r="Z38" s="9">
        <f t="shared" ref="Z38" si="302">IF($Q38=TRUE,O38*$D$2,0)</f>
        <v>0</v>
      </c>
      <c r="AA38" s="9">
        <f t="shared" ref="AA38" si="303">IF($Q38=TRUE,P38*$D$2,0)</f>
        <v>0</v>
      </c>
    </row>
    <row r="39" spans="1:27" x14ac:dyDescent="0.2">
      <c r="A39" s="77"/>
      <c r="B39" s="6" t="s">
        <v>23</v>
      </c>
      <c r="C39" s="7" t="s">
        <v>78</v>
      </c>
      <c r="D39" s="8"/>
      <c r="E39" s="8"/>
      <c r="F39" s="8" t="b">
        <v>0</v>
      </c>
      <c r="G39" s="27"/>
      <c r="H39" s="27"/>
      <c r="I39" s="27"/>
      <c r="J39" s="27"/>
      <c r="K39" s="27"/>
      <c r="L39" s="27"/>
      <c r="M39" s="27"/>
      <c r="N39" s="27"/>
      <c r="O39" s="27"/>
      <c r="P39" s="59"/>
      <c r="Q39" s="32" t="b">
        <f t="shared" si="22"/>
        <v>0</v>
      </c>
      <c r="R39" s="9">
        <f t="shared" ref="R39" si="304">IF($Q39=TRUE,G39*$D$1,0)</f>
        <v>0</v>
      </c>
      <c r="S39" s="9">
        <f t="shared" ref="S39" si="305">IF($Q39=TRUE,H39*$D$1,0)</f>
        <v>0</v>
      </c>
      <c r="T39" s="9">
        <f t="shared" ref="T39" si="306">IF($Q39=TRUE,I39*$D$1,0)</f>
        <v>0</v>
      </c>
      <c r="U39" s="9">
        <f t="shared" ref="U39" si="307">IF($Q39=TRUE,J39*$D$1,0)</f>
        <v>0</v>
      </c>
      <c r="V39" s="9">
        <f t="shared" ref="V39" si="308">IF($Q39=TRUE,K39*$D$1,0)</f>
        <v>0</v>
      </c>
      <c r="W39" s="9">
        <f t="shared" ref="W39" si="309">IF($Q39=TRUE,L39*$D$1,0)</f>
        <v>0</v>
      </c>
      <c r="X39" s="9">
        <f t="shared" ref="X39" si="310">IF($Q39=TRUE,M39*$D$1,0)</f>
        <v>0</v>
      </c>
      <c r="Y39" s="9">
        <f t="shared" ref="Y39" si="311">IF($Q39=TRUE,N39*$D$1,0)</f>
        <v>0</v>
      </c>
      <c r="Z39" s="9">
        <f t="shared" ref="Z39" si="312">IF($Q39=TRUE,O39*$D$1,0)</f>
        <v>0</v>
      </c>
      <c r="AA39" s="9">
        <f t="shared" ref="AA39" si="313">IF($Q39=TRUE,P39*$D$1,0)</f>
        <v>0</v>
      </c>
    </row>
    <row r="40" spans="1:27" x14ac:dyDescent="0.2">
      <c r="A40" s="77"/>
      <c r="B40" s="10" t="s">
        <v>28</v>
      </c>
      <c r="C40" s="11" t="s">
        <v>78</v>
      </c>
      <c r="D40" s="12"/>
      <c r="E40" s="25"/>
      <c r="F40" s="25" t="b">
        <v>0</v>
      </c>
      <c r="G40" s="27"/>
      <c r="H40" s="27"/>
      <c r="I40" s="27"/>
      <c r="J40" s="27"/>
      <c r="K40" s="27">
        <v>144</v>
      </c>
      <c r="L40" s="27"/>
      <c r="M40" s="27"/>
      <c r="N40" s="27"/>
      <c r="O40" s="27"/>
      <c r="P40" s="59"/>
      <c r="Q40" s="33" t="b">
        <f t="shared" si="33"/>
        <v>0</v>
      </c>
      <c r="R40" s="9">
        <f t="shared" ref="R40" si="314">IF($Q40=TRUE,G40*$D$2,0)</f>
        <v>0</v>
      </c>
      <c r="S40" s="9">
        <f t="shared" ref="S40" si="315">IF($Q40=TRUE,H40*$D$2,0)</f>
        <v>0</v>
      </c>
      <c r="T40" s="9">
        <f t="shared" ref="T40" si="316">IF($Q40=TRUE,I40*$D$2,0)</f>
        <v>0</v>
      </c>
      <c r="U40" s="9">
        <f t="shared" ref="U40" si="317">IF($Q40=TRUE,J40*$D$2,0)</f>
        <v>0</v>
      </c>
      <c r="V40" s="9">
        <f t="shared" ref="V40" si="318">IF($Q40=TRUE,K40*$D$2,0)</f>
        <v>0</v>
      </c>
      <c r="W40" s="9">
        <f t="shared" ref="W40" si="319">IF($Q40=TRUE,L40*$D$2,0)</f>
        <v>0</v>
      </c>
      <c r="X40" s="9">
        <f t="shared" ref="X40" si="320">IF($Q40=TRUE,M40*$D$2,0)</f>
        <v>0</v>
      </c>
      <c r="Y40" s="9">
        <f t="shared" ref="Y40" si="321">IF($Q40=TRUE,N40*$D$2,0)</f>
        <v>0</v>
      </c>
      <c r="Z40" s="9">
        <f t="shared" ref="Z40" si="322">IF($Q40=TRUE,O40*$D$2,0)</f>
        <v>0</v>
      </c>
      <c r="AA40" s="9">
        <f t="shared" ref="AA40" si="323">IF($Q40=TRUE,P40*$D$2,0)</f>
        <v>0</v>
      </c>
    </row>
    <row r="41" spans="1:27" x14ac:dyDescent="0.2">
      <c r="A41" s="77"/>
      <c r="B41" s="6" t="s">
        <v>23</v>
      </c>
      <c r="C41" s="7" t="s">
        <v>79</v>
      </c>
      <c r="D41" s="8"/>
      <c r="E41" s="8"/>
      <c r="F41" s="8" t="b">
        <v>0</v>
      </c>
      <c r="G41" s="27"/>
      <c r="H41" s="27"/>
      <c r="I41" s="27"/>
      <c r="J41" s="27"/>
      <c r="K41" s="27"/>
      <c r="L41" s="27"/>
      <c r="M41" s="27"/>
      <c r="N41" s="27"/>
      <c r="O41" s="27"/>
      <c r="P41" s="59"/>
      <c r="Q41" s="32" t="b">
        <f t="shared" si="22"/>
        <v>0</v>
      </c>
      <c r="R41" s="9">
        <f t="shared" ref="R41" si="324">IF($Q41=TRUE,G41*$D$1,0)</f>
        <v>0</v>
      </c>
      <c r="S41" s="9">
        <f t="shared" ref="S41" si="325">IF($Q41=TRUE,H41*$D$1,0)</f>
        <v>0</v>
      </c>
      <c r="T41" s="9">
        <f t="shared" ref="T41" si="326">IF($Q41=TRUE,I41*$D$1,0)</f>
        <v>0</v>
      </c>
      <c r="U41" s="9">
        <f t="shared" ref="U41" si="327">IF($Q41=TRUE,J41*$D$1,0)</f>
        <v>0</v>
      </c>
      <c r="V41" s="9">
        <f t="shared" ref="V41" si="328">IF($Q41=TRUE,K41*$D$1,0)</f>
        <v>0</v>
      </c>
      <c r="W41" s="9">
        <f t="shared" ref="W41" si="329">IF($Q41=TRUE,L41*$D$1,0)</f>
        <v>0</v>
      </c>
      <c r="X41" s="9">
        <f t="shared" ref="X41" si="330">IF($Q41=TRUE,M41*$D$1,0)</f>
        <v>0</v>
      </c>
      <c r="Y41" s="9">
        <f t="shared" ref="Y41" si="331">IF($Q41=TRUE,N41*$D$1,0)</f>
        <v>0</v>
      </c>
      <c r="Z41" s="9">
        <f t="shared" ref="Z41" si="332">IF($Q41=TRUE,O41*$D$1,0)</f>
        <v>0</v>
      </c>
      <c r="AA41" s="9">
        <f t="shared" ref="AA41" si="333">IF($Q41=TRUE,P41*$D$1,0)</f>
        <v>0</v>
      </c>
    </row>
    <row r="42" spans="1:27" x14ac:dyDescent="0.2">
      <c r="A42" s="77"/>
      <c r="B42" s="10" t="s">
        <v>28</v>
      </c>
      <c r="C42" s="11" t="s">
        <v>79</v>
      </c>
      <c r="D42" s="12"/>
      <c r="E42" s="25"/>
      <c r="F42" s="25" t="b">
        <v>0</v>
      </c>
      <c r="G42" s="27"/>
      <c r="H42" s="27"/>
      <c r="I42" s="27"/>
      <c r="J42" s="27"/>
      <c r="K42" s="27"/>
      <c r="L42" s="27"/>
      <c r="M42" s="27"/>
      <c r="N42" s="27"/>
      <c r="O42" s="27"/>
      <c r="P42" s="59"/>
      <c r="Q42" s="33" t="b">
        <f t="shared" si="33"/>
        <v>0</v>
      </c>
      <c r="R42" s="9">
        <f t="shared" ref="R42" si="334">IF($Q42=TRUE,G42*$D$2,0)</f>
        <v>0</v>
      </c>
      <c r="S42" s="9">
        <f t="shared" ref="S42" si="335">IF($Q42=TRUE,H42*$D$2,0)</f>
        <v>0</v>
      </c>
      <c r="T42" s="9">
        <f t="shared" ref="T42" si="336">IF($Q42=TRUE,I42*$D$2,0)</f>
        <v>0</v>
      </c>
      <c r="U42" s="9">
        <f t="shared" ref="U42" si="337">IF($Q42=TRUE,J42*$D$2,0)</f>
        <v>0</v>
      </c>
      <c r="V42" s="9">
        <f t="shared" ref="V42" si="338">IF($Q42=TRUE,K42*$D$2,0)</f>
        <v>0</v>
      </c>
      <c r="W42" s="9">
        <f t="shared" ref="W42" si="339">IF($Q42=TRUE,L42*$D$2,0)</f>
        <v>0</v>
      </c>
      <c r="X42" s="9">
        <f t="shared" ref="X42" si="340">IF($Q42=TRUE,M42*$D$2,0)</f>
        <v>0</v>
      </c>
      <c r="Y42" s="9">
        <f t="shared" ref="Y42" si="341">IF($Q42=TRUE,N42*$D$2,0)</f>
        <v>0</v>
      </c>
      <c r="Z42" s="9">
        <f t="shared" ref="Z42" si="342">IF($Q42=TRUE,O42*$D$2,0)</f>
        <v>0</v>
      </c>
      <c r="AA42" s="9">
        <f t="shared" ref="AA42" si="343">IF($Q42=TRUE,P42*$D$2,0)</f>
        <v>0</v>
      </c>
    </row>
    <row r="43" spans="1:27" x14ac:dyDescent="0.2">
      <c r="A43" s="77"/>
      <c r="B43" s="6" t="s">
        <v>23</v>
      </c>
      <c r="C43" s="7" t="s">
        <v>80</v>
      </c>
      <c r="D43" s="8"/>
      <c r="E43" s="8"/>
      <c r="F43" s="8" t="b">
        <v>0</v>
      </c>
      <c r="G43" s="27"/>
      <c r="H43" s="27"/>
      <c r="I43" s="27"/>
      <c r="J43" s="27"/>
      <c r="K43" s="27">
        <v>24</v>
      </c>
      <c r="L43" s="27"/>
      <c r="M43" s="27"/>
      <c r="N43" s="27"/>
      <c r="O43" s="27"/>
      <c r="P43" s="59"/>
      <c r="Q43" s="32" t="b">
        <f t="shared" si="22"/>
        <v>0</v>
      </c>
      <c r="R43" s="9">
        <f t="shared" ref="R43" si="344">IF($Q43=TRUE,G43*$D$1,0)</f>
        <v>0</v>
      </c>
      <c r="S43" s="9">
        <f t="shared" ref="S43" si="345">IF($Q43=TRUE,H43*$D$1,0)</f>
        <v>0</v>
      </c>
      <c r="T43" s="9">
        <f t="shared" ref="T43" si="346">IF($Q43=TRUE,I43*$D$1,0)</f>
        <v>0</v>
      </c>
      <c r="U43" s="9">
        <f t="shared" ref="U43" si="347">IF($Q43=TRUE,J43*$D$1,0)</f>
        <v>0</v>
      </c>
      <c r="V43" s="9">
        <f t="shared" ref="V43" si="348">IF($Q43=TRUE,K43*$D$1,0)</f>
        <v>0</v>
      </c>
      <c r="W43" s="9">
        <f t="shared" ref="W43" si="349">IF($Q43=TRUE,L43*$D$1,0)</f>
        <v>0</v>
      </c>
      <c r="X43" s="9">
        <f t="shared" ref="X43" si="350">IF($Q43=TRUE,M43*$D$1,0)</f>
        <v>0</v>
      </c>
      <c r="Y43" s="9">
        <f t="shared" ref="Y43" si="351">IF($Q43=TRUE,N43*$D$1,0)</f>
        <v>0</v>
      </c>
      <c r="Z43" s="9">
        <f t="shared" ref="Z43" si="352">IF($Q43=TRUE,O43*$D$1,0)</f>
        <v>0</v>
      </c>
      <c r="AA43" s="9">
        <f t="shared" ref="AA43" si="353">IF($Q43=TRUE,P43*$D$1,0)</f>
        <v>0</v>
      </c>
    </row>
    <row r="44" spans="1:27" x14ac:dyDescent="0.2">
      <c r="A44" s="77"/>
      <c r="B44" s="10" t="s">
        <v>28</v>
      </c>
      <c r="C44" s="11" t="s">
        <v>80</v>
      </c>
      <c r="D44" s="12"/>
      <c r="E44" s="25"/>
      <c r="F44" s="25" t="b">
        <v>0</v>
      </c>
      <c r="G44" s="27"/>
      <c r="H44" s="27"/>
      <c r="I44" s="27"/>
      <c r="J44" s="27"/>
      <c r="K44" s="27">
        <v>36</v>
      </c>
      <c r="L44" s="27"/>
      <c r="M44" s="27"/>
      <c r="N44" s="27"/>
      <c r="O44" s="27"/>
      <c r="P44" s="59"/>
      <c r="Q44" s="33" t="b">
        <f t="shared" si="33"/>
        <v>0</v>
      </c>
      <c r="R44" s="9">
        <f t="shared" ref="R44" si="354">IF($Q44=TRUE,G44*$D$2,0)</f>
        <v>0</v>
      </c>
      <c r="S44" s="9">
        <f t="shared" ref="S44" si="355">IF($Q44=TRUE,H44*$D$2,0)</f>
        <v>0</v>
      </c>
      <c r="T44" s="9">
        <f t="shared" ref="T44" si="356">IF($Q44=TRUE,I44*$D$2,0)</f>
        <v>0</v>
      </c>
      <c r="U44" s="9">
        <f t="shared" ref="U44" si="357">IF($Q44=TRUE,J44*$D$2,0)</f>
        <v>0</v>
      </c>
      <c r="V44" s="9">
        <f t="shared" ref="V44" si="358">IF($Q44=TRUE,K44*$D$2,0)</f>
        <v>0</v>
      </c>
      <c r="W44" s="9">
        <f t="shared" ref="W44" si="359">IF($Q44=TRUE,L44*$D$2,0)</f>
        <v>0</v>
      </c>
      <c r="X44" s="9">
        <f t="shared" ref="X44" si="360">IF($Q44=TRUE,M44*$D$2,0)</f>
        <v>0</v>
      </c>
      <c r="Y44" s="9">
        <f t="shared" ref="Y44" si="361">IF($Q44=TRUE,N44*$D$2,0)</f>
        <v>0</v>
      </c>
      <c r="Z44" s="9">
        <f t="shared" ref="Z44" si="362">IF($Q44=TRUE,O44*$D$2,0)</f>
        <v>0</v>
      </c>
      <c r="AA44" s="9">
        <f t="shared" ref="AA44" si="363">IF($Q44=TRUE,P44*$D$2,0)</f>
        <v>0</v>
      </c>
    </row>
    <row r="45" spans="1:27" x14ac:dyDescent="0.2">
      <c r="A45" s="77"/>
      <c r="B45" s="6" t="s">
        <v>23</v>
      </c>
      <c r="C45" s="7" t="s">
        <v>81</v>
      </c>
      <c r="D45" s="8"/>
      <c r="E45" s="8"/>
      <c r="F45" s="8" t="b">
        <v>0</v>
      </c>
      <c r="G45" s="27"/>
      <c r="H45" s="27"/>
      <c r="I45" s="27"/>
      <c r="J45" s="27"/>
      <c r="K45" s="27">
        <v>24</v>
      </c>
      <c r="L45" s="27"/>
      <c r="M45" s="27"/>
      <c r="N45" s="27"/>
      <c r="O45" s="27"/>
      <c r="P45" s="59"/>
      <c r="Q45" s="32" t="b">
        <f t="shared" si="22"/>
        <v>0</v>
      </c>
      <c r="R45" s="9">
        <f t="shared" ref="R45" si="364">IF($Q45=TRUE,G45*$D$1,0)</f>
        <v>0</v>
      </c>
      <c r="S45" s="9">
        <f t="shared" ref="S45" si="365">IF($Q45=TRUE,H45*$D$1,0)</f>
        <v>0</v>
      </c>
      <c r="T45" s="9">
        <f t="shared" ref="T45" si="366">IF($Q45=TRUE,I45*$D$1,0)</f>
        <v>0</v>
      </c>
      <c r="U45" s="9">
        <f t="shared" ref="U45" si="367">IF($Q45=TRUE,J45*$D$1,0)</f>
        <v>0</v>
      </c>
      <c r="V45" s="9">
        <f t="shared" ref="V45" si="368">IF($Q45=TRUE,K45*$D$1,0)</f>
        <v>0</v>
      </c>
      <c r="W45" s="9">
        <f t="shared" ref="W45" si="369">IF($Q45=TRUE,L45*$D$1,0)</f>
        <v>0</v>
      </c>
      <c r="X45" s="9">
        <f t="shared" ref="X45" si="370">IF($Q45=TRUE,M45*$D$1,0)</f>
        <v>0</v>
      </c>
      <c r="Y45" s="9">
        <f t="shared" ref="Y45" si="371">IF($Q45=TRUE,N45*$D$1,0)</f>
        <v>0</v>
      </c>
      <c r="Z45" s="9">
        <f t="shared" ref="Z45" si="372">IF($Q45=TRUE,O45*$D$1,0)</f>
        <v>0</v>
      </c>
      <c r="AA45" s="9">
        <f t="shared" ref="AA45" si="373">IF($Q45=TRUE,P45*$D$1,0)</f>
        <v>0</v>
      </c>
    </row>
    <row r="46" spans="1:27" x14ac:dyDescent="0.2">
      <c r="A46" s="77"/>
      <c r="B46" s="10" t="s">
        <v>28</v>
      </c>
      <c r="C46" s="11" t="s">
        <v>81</v>
      </c>
      <c r="D46" s="12"/>
      <c r="E46" s="25"/>
      <c r="F46" s="25" t="b">
        <v>0</v>
      </c>
      <c r="G46" s="27"/>
      <c r="H46" s="27"/>
      <c r="I46" s="27"/>
      <c r="J46" s="27"/>
      <c r="K46" s="27">
        <v>24</v>
      </c>
      <c r="L46" s="27"/>
      <c r="M46" s="27"/>
      <c r="N46" s="27"/>
      <c r="O46" s="27"/>
      <c r="P46" s="59"/>
      <c r="Q46" s="33" t="b">
        <f t="shared" si="33"/>
        <v>0</v>
      </c>
      <c r="R46" s="9">
        <f t="shared" ref="R46" si="374">IF($Q46=TRUE,G46*$D$2,0)</f>
        <v>0</v>
      </c>
      <c r="S46" s="9">
        <f t="shared" ref="S46" si="375">IF($Q46=TRUE,H46*$D$2,0)</f>
        <v>0</v>
      </c>
      <c r="T46" s="9">
        <f t="shared" ref="T46" si="376">IF($Q46=TRUE,I46*$D$2,0)</f>
        <v>0</v>
      </c>
      <c r="U46" s="9">
        <f t="shared" ref="U46" si="377">IF($Q46=TRUE,J46*$D$2,0)</f>
        <v>0</v>
      </c>
      <c r="V46" s="9">
        <f t="shared" ref="V46" si="378">IF($Q46=TRUE,K46*$D$2,0)</f>
        <v>0</v>
      </c>
      <c r="W46" s="9">
        <f t="shared" ref="W46" si="379">IF($Q46=TRUE,L46*$D$2,0)</f>
        <v>0</v>
      </c>
      <c r="X46" s="9">
        <f t="shared" ref="X46" si="380">IF($Q46=TRUE,M46*$D$2,0)</f>
        <v>0</v>
      </c>
      <c r="Y46" s="9">
        <f t="shared" ref="Y46" si="381">IF($Q46=TRUE,N46*$D$2,0)</f>
        <v>0</v>
      </c>
      <c r="Z46" s="9">
        <f t="shared" ref="Z46" si="382">IF($Q46=TRUE,O46*$D$2,0)</f>
        <v>0</v>
      </c>
      <c r="AA46" s="9">
        <f t="shared" ref="AA46" si="383">IF($Q46=TRUE,P46*$D$2,0)</f>
        <v>0</v>
      </c>
    </row>
    <row r="47" spans="1:27" x14ac:dyDescent="0.2">
      <c r="A47" s="77"/>
      <c r="B47" s="6" t="s">
        <v>23</v>
      </c>
      <c r="C47" s="7" t="s">
        <v>82</v>
      </c>
      <c r="D47" s="8"/>
      <c r="E47" s="8"/>
      <c r="F47" s="8" t="b">
        <v>0</v>
      </c>
      <c r="G47" s="27"/>
      <c r="H47" s="27"/>
      <c r="I47" s="27"/>
      <c r="J47" s="27"/>
      <c r="K47" s="27">
        <v>24</v>
      </c>
      <c r="L47" s="27"/>
      <c r="M47" s="27"/>
      <c r="N47" s="27"/>
      <c r="O47" s="27"/>
      <c r="P47" s="59"/>
      <c r="Q47" s="32" t="b">
        <f t="shared" si="22"/>
        <v>0</v>
      </c>
      <c r="R47" s="9">
        <f t="shared" ref="R47" si="384">IF($Q47=TRUE,G47*$D$1,0)</f>
        <v>0</v>
      </c>
      <c r="S47" s="9">
        <f t="shared" ref="S47" si="385">IF($Q47=TRUE,H47*$D$1,0)</f>
        <v>0</v>
      </c>
      <c r="T47" s="9">
        <f t="shared" ref="T47" si="386">IF($Q47=TRUE,I47*$D$1,0)</f>
        <v>0</v>
      </c>
      <c r="U47" s="9">
        <f t="shared" ref="U47" si="387">IF($Q47=TRUE,J47*$D$1,0)</f>
        <v>0</v>
      </c>
      <c r="V47" s="9">
        <f t="shared" ref="V47" si="388">IF($Q47=TRUE,K47*$D$1,0)</f>
        <v>0</v>
      </c>
      <c r="W47" s="9">
        <f t="shared" ref="W47" si="389">IF($Q47=TRUE,L47*$D$1,0)</f>
        <v>0</v>
      </c>
      <c r="X47" s="9">
        <f t="shared" ref="X47" si="390">IF($Q47=TRUE,M47*$D$1,0)</f>
        <v>0</v>
      </c>
      <c r="Y47" s="9">
        <f t="shared" ref="Y47" si="391">IF($Q47=TRUE,N47*$D$1,0)</f>
        <v>0</v>
      </c>
      <c r="Z47" s="9">
        <f t="shared" ref="Z47" si="392">IF($Q47=TRUE,O47*$D$1,0)</f>
        <v>0</v>
      </c>
      <c r="AA47" s="9">
        <f t="shared" ref="AA47" si="393">IF($Q47=TRUE,P47*$D$1,0)</f>
        <v>0</v>
      </c>
    </row>
    <row r="48" spans="1:27" x14ac:dyDescent="0.2">
      <c r="A48" s="77"/>
      <c r="B48" s="10" t="s">
        <v>28</v>
      </c>
      <c r="C48" s="11" t="s">
        <v>82</v>
      </c>
      <c r="D48" s="12"/>
      <c r="E48" s="25"/>
      <c r="F48" s="25" t="b">
        <v>0</v>
      </c>
      <c r="G48" s="27"/>
      <c r="H48" s="27"/>
      <c r="I48" s="27"/>
      <c r="J48" s="27"/>
      <c r="K48" s="27">
        <v>24</v>
      </c>
      <c r="L48" s="27"/>
      <c r="M48" s="27"/>
      <c r="N48" s="27"/>
      <c r="O48" s="27"/>
      <c r="P48" s="59"/>
      <c r="Q48" s="33" t="b">
        <f t="shared" si="33"/>
        <v>0</v>
      </c>
      <c r="R48" s="9">
        <f t="shared" ref="R48" si="394">IF($Q48=TRUE,G48*$D$2,0)</f>
        <v>0</v>
      </c>
      <c r="S48" s="9">
        <f t="shared" ref="S48" si="395">IF($Q48=TRUE,H48*$D$2,0)</f>
        <v>0</v>
      </c>
      <c r="T48" s="9">
        <f t="shared" ref="T48" si="396">IF($Q48=TRUE,I48*$D$2,0)</f>
        <v>0</v>
      </c>
      <c r="U48" s="9">
        <f t="shared" ref="U48" si="397">IF($Q48=TRUE,J48*$D$2,0)</f>
        <v>0</v>
      </c>
      <c r="V48" s="9">
        <f t="shared" ref="V48" si="398">IF($Q48=TRUE,K48*$D$2,0)</f>
        <v>0</v>
      </c>
      <c r="W48" s="9">
        <f t="shared" ref="W48" si="399">IF($Q48=TRUE,L48*$D$2,0)</f>
        <v>0</v>
      </c>
      <c r="X48" s="9">
        <f t="shared" ref="X48" si="400">IF($Q48=TRUE,M48*$D$2,0)</f>
        <v>0</v>
      </c>
      <c r="Y48" s="9">
        <f t="shared" ref="Y48" si="401">IF($Q48=TRUE,N48*$D$2,0)</f>
        <v>0</v>
      </c>
      <c r="Z48" s="9">
        <f t="shared" ref="Z48" si="402">IF($Q48=TRUE,O48*$D$2,0)</f>
        <v>0</v>
      </c>
      <c r="AA48" s="9">
        <f t="shared" ref="AA48" si="403">IF($Q48=TRUE,P48*$D$2,0)</f>
        <v>0</v>
      </c>
    </row>
    <row r="49" spans="1:27" x14ac:dyDescent="0.2">
      <c r="A49" s="77"/>
      <c r="B49" s="6" t="s">
        <v>23</v>
      </c>
      <c r="C49" s="7" t="s">
        <v>83</v>
      </c>
      <c r="D49" s="8"/>
      <c r="E49" s="8"/>
      <c r="F49" s="8" t="b">
        <v>0</v>
      </c>
      <c r="G49" s="27"/>
      <c r="H49" s="27"/>
      <c r="I49" s="27"/>
      <c r="J49" s="27"/>
      <c r="K49" s="27">
        <v>24</v>
      </c>
      <c r="L49" s="27"/>
      <c r="M49" s="27"/>
      <c r="N49" s="27"/>
      <c r="O49" s="27"/>
      <c r="P49" s="59"/>
      <c r="Q49" s="32" t="b">
        <f t="shared" si="22"/>
        <v>0</v>
      </c>
      <c r="R49" s="9">
        <f t="shared" ref="R49" si="404">IF($Q49=TRUE,G49*$D$1,0)</f>
        <v>0</v>
      </c>
      <c r="S49" s="9">
        <f t="shared" ref="S49" si="405">IF($Q49=TRUE,H49*$D$1,0)</f>
        <v>0</v>
      </c>
      <c r="T49" s="9">
        <f t="shared" ref="T49" si="406">IF($Q49=TRUE,I49*$D$1,0)</f>
        <v>0</v>
      </c>
      <c r="U49" s="9">
        <f t="shared" ref="U49" si="407">IF($Q49=TRUE,J49*$D$1,0)</f>
        <v>0</v>
      </c>
      <c r="V49" s="9">
        <f t="shared" ref="V49" si="408">IF($Q49=TRUE,K49*$D$1,0)</f>
        <v>0</v>
      </c>
      <c r="W49" s="9">
        <f t="shared" ref="W49" si="409">IF($Q49=TRUE,L49*$D$1,0)</f>
        <v>0</v>
      </c>
      <c r="X49" s="9">
        <f t="shared" ref="X49" si="410">IF($Q49=TRUE,M49*$D$1,0)</f>
        <v>0</v>
      </c>
      <c r="Y49" s="9">
        <f t="shared" ref="Y49" si="411">IF($Q49=TRUE,N49*$D$1,0)</f>
        <v>0</v>
      </c>
      <c r="Z49" s="9">
        <f t="shared" ref="Z49" si="412">IF($Q49=TRUE,O49*$D$1,0)</f>
        <v>0</v>
      </c>
      <c r="AA49" s="9">
        <f t="shared" ref="AA49" si="413">IF($Q49=TRUE,P49*$D$1,0)</f>
        <v>0</v>
      </c>
    </row>
    <row r="50" spans="1:27" x14ac:dyDescent="0.2">
      <c r="A50" s="77"/>
      <c r="B50" s="10" t="s">
        <v>28</v>
      </c>
      <c r="C50" s="11" t="s">
        <v>83</v>
      </c>
      <c r="D50" s="12"/>
      <c r="E50" s="25"/>
      <c r="F50" s="25" t="b">
        <v>0</v>
      </c>
      <c r="G50" s="27"/>
      <c r="H50" s="27"/>
      <c r="I50" s="27"/>
      <c r="J50" s="27"/>
      <c r="K50" s="27">
        <v>24</v>
      </c>
      <c r="L50" s="27"/>
      <c r="M50" s="27"/>
      <c r="N50" s="27"/>
      <c r="O50" s="27"/>
      <c r="P50" s="59"/>
      <c r="Q50" s="33" t="b">
        <f t="shared" si="33"/>
        <v>0</v>
      </c>
      <c r="R50" s="9">
        <f t="shared" ref="R50" si="414">IF($Q50=TRUE,G50*$D$2,0)</f>
        <v>0</v>
      </c>
      <c r="S50" s="9">
        <f t="shared" ref="S50" si="415">IF($Q50=TRUE,H50*$D$2,0)</f>
        <v>0</v>
      </c>
      <c r="T50" s="9">
        <f t="shared" ref="T50" si="416">IF($Q50=TRUE,I50*$D$2,0)</f>
        <v>0</v>
      </c>
      <c r="U50" s="9">
        <f t="shared" ref="U50" si="417">IF($Q50=TRUE,J50*$D$2,0)</f>
        <v>0</v>
      </c>
      <c r="V50" s="9">
        <f t="shared" ref="V50" si="418">IF($Q50=TRUE,K50*$D$2,0)</f>
        <v>0</v>
      </c>
      <c r="W50" s="9">
        <f t="shared" ref="W50" si="419">IF($Q50=TRUE,L50*$D$2,0)</f>
        <v>0</v>
      </c>
      <c r="X50" s="9">
        <f t="shared" ref="X50" si="420">IF($Q50=TRUE,M50*$D$2,0)</f>
        <v>0</v>
      </c>
      <c r="Y50" s="9">
        <f t="shared" ref="Y50" si="421">IF($Q50=TRUE,N50*$D$2,0)</f>
        <v>0</v>
      </c>
      <c r="Z50" s="9">
        <f t="shared" ref="Z50" si="422">IF($Q50=TRUE,O50*$D$2,0)</f>
        <v>0</v>
      </c>
      <c r="AA50" s="9">
        <f t="shared" ref="AA50" si="423">IF($Q50=TRUE,P50*$D$2,0)</f>
        <v>0</v>
      </c>
    </row>
    <row r="51" spans="1:27" x14ac:dyDescent="0.2">
      <c r="A51" s="77"/>
      <c r="B51" s="6" t="s">
        <v>23</v>
      </c>
      <c r="C51" s="7" t="s">
        <v>84</v>
      </c>
      <c r="D51" s="8"/>
      <c r="E51" s="8"/>
      <c r="F51" s="8" t="b">
        <v>0</v>
      </c>
      <c r="G51" s="27"/>
      <c r="H51" s="27"/>
      <c r="I51" s="27"/>
      <c r="J51" s="27"/>
      <c r="K51" s="27">
        <v>48</v>
      </c>
      <c r="L51" s="27"/>
      <c r="M51" s="27"/>
      <c r="N51" s="27"/>
      <c r="O51" s="27"/>
      <c r="P51" s="59"/>
      <c r="Q51" s="32" t="b">
        <f t="shared" si="22"/>
        <v>0</v>
      </c>
      <c r="R51" s="9">
        <f t="shared" ref="R51" si="424">IF($Q51=TRUE,G51*$D$1,0)</f>
        <v>0</v>
      </c>
      <c r="S51" s="9">
        <f t="shared" ref="S51" si="425">IF($Q51=TRUE,H51*$D$1,0)</f>
        <v>0</v>
      </c>
      <c r="T51" s="9">
        <f t="shared" ref="T51" si="426">IF($Q51=TRUE,I51*$D$1,0)</f>
        <v>0</v>
      </c>
      <c r="U51" s="9">
        <f t="shared" ref="U51" si="427">IF($Q51=TRUE,J51*$D$1,0)</f>
        <v>0</v>
      </c>
      <c r="V51" s="9">
        <f t="shared" ref="V51" si="428">IF($Q51=TRUE,K51*$D$1,0)</f>
        <v>0</v>
      </c>
      <c r="W51" s="9">
        <f t="shared" ref="W51" si="429">IF($Q51=TRUE,L51*$D$1,0)</f>
        <v>0</v>
      </c>
      <c r="X51" s="9">
        <f t="shared" ref="X51" si="430">IF($Q51=TRUE,M51*$D$1,0)</f>
        <v>0</v>
      </c>
      <c r="Y51" s="9">
        <f t="shared" ref="Y51" si="431">IF($Q51=TRUE,N51*$D$1,0)</f>
        <v>0</v>
      </c>
      <c r="Z51" s="9">
        <f t="shared" ref="Z51" si="432">IF($Q51=TRUE,O51*$D$1,0)</f>
        <v>0</v>
      </c>
      <c r="AA51" s="9">
        <f t="shared" ref="AA51" si="433">IF($Q51=TRUE,P51*$D$1,0)</f>
        <v>0</v>
      </c>
    </row>
    <row r="52" spans="1:27" x14ac:dyDescent="0.2">
      <c r="A52" s="77"/>
      <c r="B52" s="10" t="s">
        <v>28</v>
      </c>
      <c r="C52" s="11" t="s">
        <v>84</v>
      </c>
      <c r="D52" s="12"/>
      <c r="E52" s="25"/>
      <c r="F52" s="25" t="b">
        <v>0</v>
      </c>
      <c r="G52" s="27"/>
      <c r="H52" s="27"/>
      <c r="I52" s="27"/>
      <c r="J52" s="27"/>
      <c r="K52" s="27">
        <v>48</v>
      </c>
      <c r="L52" s="27"/>
      <c r="M52" s="27"/>
      <c r="N52" s="27"/>
      <c r="O52" s="27"/>
      <c r="P52" s="59"/>
      <c r="Q52" s="33" t="b">
        <f t="shared" si="33"/>
        <v>0</v>
      </c>
      <c r="R52" s="9">
        <f t="shared" ref="R52" si="434">IF($Q52=TRUE,G52*$D$2,0)</f>
        <v>0</v>
      </c>
      <c r="S52" s="9">
        <f t="shared" ref="S52" si="435">IF($Q52=TRUE,H52*$D$2,0)</f>
        <v>0</v>
      </c>
      <c r="T52" s="9">
        <f t="shared" ref="T52" si="436">IF($Q52=TRUE,I52*$D$2,0)</f>
        <v>0</v>
      </c>
      <c r="U52" s="9">
        <f t="shared" ref="U52" si="437">IF($Q52=TRUE,J52*$D$2,0)</f>
        <v>0</v>
      </c>
      <c r="V52" s="9">
        <f t="shared" ref="V52" si="438">IF($Q52=TRUE,K52*$D$2,0)</f>
        <v>0</v>
      </c>
      <c r="W52" s="9">
        <f t="shared" ref="W52" si="439">IF($Q52=TRUE,L52*$D$2,0)</f>
        <v>0</v>
      </c>
      <c r="X52" s="9">
        <f t="shared" ref="X52" si="440">IF($Q52=TRUE,M52*$D$2,0)</f>
        <v>0</v>
      </c>
      <c r="Y52" s="9">
        <f t="shared" ref="Y52" si="441">IF($Q52=TRUE,N52*$D$2,0)</f>
        <v>0</v>
      </c>
      <c r="Z52" s="9">
        <f t="shared" ref="Z52" si="442">IF($Q52=TRUE,O52*$D$2,0)</f>
        <v>0</v>
      </c>
      <c r="AA52" s="9">
        <f t="shared" ref="AA52" si="443">IF($Q52=TRUE,P52*$D$2,0)</f>
        <v>0</v>
      </c>
    </row>
    <row r="53" spans="1:27" x14ac:dyDescent="0.2">
      <c r="A53" s="77"/>
      <c r="B53" s="6" t="s">
        <v>23</v>
      </c>
      <c r="C53" s="7" t="s">
        <v>85</v>
      </c>
      <c r="D53" s="8"/>
      <c r="E53" s="8"/>
      <c r="F53" s="8" t="b">
        <v>0</v>
      </c>
      <c r="G53" s="27"/>
      <c r="H53" s="27"/>
      <c r="I53" s="27"/>
      <c r="J53" s="27"/>
      <c r="K53" s="27">
        <v>10</v>
      </c>
      <c r="L53" s="27"/>
      <c r="M53" s="27"/>
      <c r="N53" s="27"/>
      <c r="O53" s="27"/>
      <c r="P53" s="59"/>
      <c r="Q53" s="32" t="b">
        <f t="shared" si="22"/>
        <v>0</v>
      </c>
      <c r="R53" s="9">
        <f t="shared" ref="R53" si="444">IF($Q53=TRUE,G53*$D$1,0)</f>
        <v>0</v>
      </c>
      <c r="S53" s="9">
        <f t="shared" ref="S53" si="445">IF($Q53=TRUE,H53*$D$1,0)</f>
        <v>0</v>
      </c>
      <c r="T53" s="9">
        <f t="shared" ref="T53" si="446">IF($Q53=TRUE,I53*$D$1,0)</f>
        <v>0</v>
      </c>
      <c r="U53" s="9">
        <f t="shared" ref="U53" si="447">IF($Q53=TRUE,J53*$D$1,0)</f>
        <v>0</v>
      </c>
      <c r="V53" s="9">
        <f t="shared" ref="V53" si="448">IF($Q53=TRUE,K53*$D$1,0)</f>
        <v>0</v>
      </c>
      <c r="W53" s="9">
        <f t="shared" ref="W53" si="449">IF($Q53=TRUE,L53*$D$1,0)</f>
        <v>0</v>
      </c>
      <c r="X53" s="9">
        <f t="shared" ref="X53" si="450">IF($Q53=TRUE,M53*$D$1,0)</f>
        <v>0</v>
      </c>
      <c r="Y53" s="9">
        <f t="shared" ref="Y53" si="451">IF($Q53=TRUE,N53*$D$1,0)</f>
        <v>0</v>
      </c>
      <c r="Z53" s="9">
        <f t="shared" ref="Z53" si="452">IF($Q53=TRUE,O53*$D$1,0)</f>
        <v>0</v>
      </c>
      <c r="AA53" s="9">
        <f t="shared" ref="AA53" si="453">IF($Q53=TRUE,P53*$D$1,0)</f>
        <v>0</v>
      </c>
    </row>
    <row r="54" spans="1:27" x14ac:dyDescent="0.2">
      <c r="A54" s="77"/>
      <c r="B54" s="10" t="s">
        <v>28</v>
      </c>
      <c r="C54" s="11" t="s">
        <v>85</v>
      </c>
      <c r="D54" s="12"/>
      <c r="E54" s="25"/>
      <c r="F54" s="25" t="b">
        <v>0</v>
      </c>
      <c r="G54" s="27"/>
      <c r="H54" s="27"/>
      <c r="I54" s="27"/>
      <c r="J54" s="27"/>
      <c r="K54" s="27">
        <v>10</v>
      </c>
      <c r="L54" s="27"/>
      <c r="M54" s="27"/>
      <c r="N54" s="27"/>
      <c r="O54" s="27"/>
      <c r="P54" s="59"/>
      <c r="Q54" s="33" t="b">
        <f t="shared" si="33"/>
        <v>0</v>
      </c>
      <c r="R54" s="9">
        <f t="shared" ref="R54" si="454">IF($Q54=TRUE,G54*$D$2,0)</f>
        <v>0</v>
      </c>
      <c r="S54" s="9">
        <f t="shared" ref="S54" si="455">IF($Q54=TRUE,H54*$D$2,0)</f>
        <v>0</v>
      </c>
      <c r="T54" s="9">
        <f t="shared" ref="T54" si="456">IF($Q54=TRUE,I54*$D$2,0)</f>
        <v>0</v>
      </c>
      <c r="U54" s="9">
        <f t="shared" ref="U54" si="457">IF($Q54=TRUE,J54*$D$2,0)</f>
        <v>0</v>
      </c>
      <c r="V54" s="9">
        <f t="shared" ref="V54" si="458">IF($Q54=TRUE,K54*$D$2,0)</f>
        <v>0</v>
      </c>
      <c r="W54" s="9">
        <f t="shared" ref="W54" si="459">IF($Q54=TRUE,L54*$D$2,0)</f>
        <v>0</v>
      </c>
      <c r="X54" s="9">
        <f t="shared" ref="X54" si="460">IF($Q54=TRUE,M54*$D$2,0)</f>
        <v>0</v>
      </c>
      <c r="Y54" s="9">
        <f t="shared" ref="Y54" si="461">IF($Q54=TRUE,N54*$D$2,0)</f>
        <v>0</v>
      </c>
      <c r="Z54" s="9">
        <f t="shared" ref="Z54" si="462">IF($Q54=TRUE,O54*$D$2,0)</f>
        <v>0</v>
      </c>
      <c r="AA54" s="9">
        <f t="shared" ref="AA54" si="463">IF($Q54=TRUE,P54*$D$2,0)</f>
        <v>0</v>
      </c>
    </row>
    <row r="55" spans="1:27" x14ac:dyDescent="0.2">
      <c r="A55" s="77"/>
      <c r="B55" s="6" t="s">
        <v>23</v>
      </c>
      <c r="C55" s="7" t="s">
        <v>86</v>
      </c>
      <c r="D55" s="8"/>
      <c r="E55" s="8"/>
      <c r="F55" s="8" t="b">
        <v>0</v>
      </c>
      <c r="G55" s="27"/>
      <c r="H55" s="27"/>
      <c r="I55" s="27"/>
      <c r="J55" s="27"/>
      <c r="K55" s="27">
        <v>36</v>
      </c>
      <c r="L55" s="27"/>
      <c r="M55" s="27"/>
      <c r="N55" s="27"/>
      <c r="O55" s="27"/>
      <c r="P55" s="59"/>
      <c r="Q55" s="32" t="b">
        <f t="shared" si="22"/>
        <v>0</v>
      </c>
      <c r="R55" s="9">
        <f t="shared" ref="R55" si="464">IF($Q55=TRUE,G55*$D$1,0)</f>
        <v>0</v>
      </c>
      <c r="S55" s="9">
        <f t="shared" ref="S55" si="465">IF($Q55=TRUE,H55*$D$1,0)</f>
        <v>0</v>
      </c>
      <c r="T55" s="9">
        <f t="shared" ref="T55" si="466">IF($Q55=TRUE,I55*$D$1,0)</f>
        <v>0</v>
      </c>
      <c r="U55" s="9">
        <f t="shared" ref="U55" si="467">IF($Q55=TRUE,J55*$D$1,0)</f>
        <v>0</v>
      </c>
      <c r="V55" s="9">
        <f t="shared" ref="V55" si="468">IF($Q55=TRUE,K55*$D$1,0)</f>
        <v>0</v>
      </c>
      <c r="W55" s="9">
        <f t="shared" ref="W55" si="469">IF($Q55=TRUE,L55*$D$1,0)</f>
        <v>0</v>
      </c>
      <c r="X55" s="9">
        <f t="shared" ref="X55" si="470">IF($Q55=TRUE,M55*$D$1,0)</f>
        <v>0</v>
      </c>
      <c r="Y55" s="9">
        <f t="shared" ref="Y55" si="471">IF($Q55=TRUE,N55*$D$1,0)</f>
        <v>0</v>
      </c>
      <c r="Z55" s="9">
        <f t="shared" ref="Z55" si="472">IF($Q55=TRUE,O55*$D$1,0)</f>
        <v>0</v>
      </c>
      <c r="AA55" s="9">
        <f t="shared" ref="AA55" si="473">IF($Q55=TRUE,P55*$D$1,0)</f>
        <v>0</v>
      </c>
    </row>
    <row r="56" spans="1:27" x14ac:dyDescent="0.2">
      <c r="A56" s="77"/>
      <c r="B56" s="10" t="s">
        <v>28</v>
      </c>
      <c r="C56" s="11" t="s">
        <v>86</v>
      </c>
      <c r="D56" s="12"/>
      <c r="E56" s="25"/>
      <c r="F56" s="25" t="b">
        <v>0</v>
      </c>
      <c r="G56" s="27"/>
      <c r="H56" s="27"/>
      <c r="I56" s="27"/>
      <c r="J56" s="27"/>
      <c r="K56" s="27">
        <v>36</v>
      </c>
      <c r="L56" s="27"/>
      <c r="M56" s="27"/>
      <c r="N56" s="27"/>
      <c r="O56" s="27"/>
      <c r="P56" s="59"/>
      <c r="Q56" s="33" t="b">
        <f t="shared" si="33"/>
        <v>0</v>
      </c>
      <c r="R56" s="9">
        <f t="shared" ref="R56" si="474">IF($Q56=TRUE,G56*$D$2,0)</f>
        <v>0</v>
      </c>
      <c r="S56" s="9">
        <f t="shared" ref="S56" si="475">IF($Q56=TRUE,H56*$D$2,0)</f>
        <v>0</v>
      </c>
      <c r="T56" s="9">
        <f t="shared" ref="T56" si="476">IF($Q56=TRUE,I56*$D$2,0)</f>
        <v>0</v>
      </c>
      <c r="U56" s="9">
        <f t="shared" ref="U56" si="477">IF($Q56=TRUE,J56*$D$2,0)</f>
        <v>0</v>
      </c>
      <c r="V56" s="9">
        <f t="shared" ref="V56" si="478">IF($Q56=TRUE,K56*$D$2,0)</f>
        <v>0</v>
      </c>
      <c r="W56" s="9">
        <f t="shared" ref="W56" si="479">IF($Q56=TRUE,L56*$D$2,0)</f>
        <v>0</v>
      </c>
      <c r="X56" s="9">
        <f t="shared" ref="X56" si="480">IF($Q56=TRUE,M56*$D$2,0)</f>
        <v>0</v>
      </c>
      <c r="Y56" s="9">
        <f t="shared" ref="Y56" si="481">IF($Q56=TRUE,N56*$D$2,0)</f>
        <v>0</v>
      </c>
      <c r="Z56" s="9">
        <f t="shared" ref="Z56" si="482">IF($Q56=TRUE,O56*$D$2,0)</f>
        <v>0</v>
      </c>
      <c r="AA56" s="9">
        <f t="shared" ref="AA56" si="483">IF($Q56=TRUE,P56*$D$2,0)</f>
        <v>0</v>
      </c>
    </row>
    <row r="57" spans="1:27" x14ac:dyDescent="0.2">
      <c r="A57" s="77"/>
      <c r="B57" s="6" t="s">
        <v>23</v>
      </c>
      <c r="C57" s="7" t="s">
        <v>87</v>
      </c>
      <c r="D57" s="8"/>
      <c r="E57" s="8"/>
      <c r="F57" s="8" t="b">
        <v>0</v>
      </c>
      <c r="G57" s="27">
        <v>100</v>
      </c>
      <c r="H57" s="27"/>
      <c r="I57" s="27"/>
      <c r="J57" s="27"/>
      <c r="K57" s="27">
        <v>48</v>
      </c>
      <c r="L57" s="27"/>
      <c r="M57" s="27"/>
      <c r="N57" s="27"/>
      <c r="O57" s="27"/>
      <c r="P57" s="59"/>
      <c r="Q57" s="32" t="b">
        <f t="shared" si="22"/>
        <v>0</v>
      </c>
      <c r="R57" s="9">
        <f t="shared" ref="R57" si="484">IF($Q57=TRUE,G57*$D$1,0)</f>
        <v>0</v>
      </c>
      <c r="S57" s="9">
        <f t="shared" ref="S57" si="485">IF($Q57=TRUE,H57*$D$1,0)</f>
        <v>0</v>
      </c>
      <c r="T57" s="9">
        <f t="shared" ref="T57" si="486">IF($Q57=TRUE,I57*$D$1,0)</f>
        <v>0</v>
      </c>
      <c r="U57" s="9">
        <f t="shared" ref="U57" si="487">IF($Q57=TRUE,J57*$D$1,0)</f>
        <v>0</v>
      </c>
      <c r="V57" s="9">
        <f t="shared" ref="V57" si="488">IF($Q57=TRUE,K57*$D$1,0)</f>
        <v>0</v>
      </c>
      <c r="W57" s="9">
        <f t="shared" ref="W57" si="489">IF($Q57=TRUE,L57*$D$1,0)</f>
        <v>0</v>
      </c>
      <c r="X57" s="9">
        <f t="shared" ref="X57" si="490">IF($Q57=TRUE,M57*$D$1,0)</f>
        <v>0</v>
      </c>
      <c r="Y57" s="9">
        <f t="shared" ref="Y57" si="491">IF($Q57=TRUE,N57*$D$1,0)</f>
        <v>0</v>
      </c>
      <c r="Z57" s="9">
        <f t="shared" ref="Z57" si="492">IF($Q57=TRUE,O57*$D$1,0)</f>
        <v>0</v>
      </c>
      <c r="AA57" s="9">
        <f t="shared" ref="AA57" si="493">IF($Q57=TRUE,P57*$D$1,0)</f>
        <v>0</v>
      </c>
    </row>
    <row r="58" spans="1:27" x14ac:dyDescent="0.2">
      <c r="A58" s="77"/>
      <c r="B58" s="10" t="s">
        <v>28</v>
      </c>
      <c r="C58" s="11" t="s">
        <v>87</v>
      </c>
      <c r="D58" s="12"/>
      <c r="E58" s="25"/>
      <c r="F58" s="25" t="b">
        <v>0</v>
      </c>
      <c r="G58" s="27">
        <v>150</v>
      </c>
      <c r="H58" s="27"/>
      <c r="I58" s="27"/>
      <c r="J58" s="27"/>
      <c r="K58" s="27">
        <v>48</v>
      </c>
      <c r="L58" s="27"/>
      <c r="M58" s="27"/>
      <c r="N58" s="27"/>
      <c r="O58" s="27"/>
      <c r="P58" s="59"/>
      <c r="Q58" s="33" t="b">
        <f t="shared" si="33"/>
        <v>0</v>
      </c>
      <c r="R58" s="9">
        <f t="shared" ref="R58" si="494">IF($Q58=TRUE,G58*$D$2,0)</f>
        <v>0</v>
      </c>
      <c r="S58" s="9">
        <f t="shared" ref="S58" si="495">IF($Q58=TRUE,H58*$D$2,0)</f>
        <v>0</v>
      </c>
      <c r="T58" s="9">
        <f t="shared" ref="T58" si="496">IF($Q58=TRUE,I58*$D$2,0)</f>
        <v>0</v>
      </c>
      <c r="U58" s="9">
        <f t="shared" ref="U58" si="497">IF($Q58=TRUE,J58*$D$2,0)</f>
        <v>0</v>
      </c>
      <c r="V58" s="9">
        <f t="shared" ref="V58" si="498">IF($Q58=TRUE,K58*$D$2,0)</f>
        <v>0</v>
      </c>
      <c r="W58" s="9">
        <f t="shared" ref="W58" si="499">IF($Q58=TRUE,L58*$D$2,0)</f>
        <v>0</v>
      </c>
      <c r="X58" s="9">
        <f t="shared" ref="X58" si="500">IF($Q58=TRUE,M58*$D$2,0)</f>
        <v>0</v>
      </c>
      <c r="Y58" s="9">
        <f t="shared" ref="Y58" si="501">IF($Q58=TRUE,N58*$D$2,0)</f>
        <v>0</v>
      </c>
      <c r="Z58" s="9">
        <f t="shared" ref="Z58" si="502">IF($Q58=TRUE,O58*$D$2,0)</f>
        <v>0</v>
      </c>
      <c r="AA58" s="9">
        <f t="shared" ref="AA58" si="503">IF($Q58=TRUE,P58*$D$2,0)</f>
        <v>0</v>
      </c>
    </row>
    <row r="59" spans="1:27" x14ac:dyDescent="0.2">
      <c r="A59" s="77"/>
      <c r="B59" s="6" t="s">
        <v>23</v>
      </c>
      <c r="C59" s="7" t="s">
        <v>88</v>
      </c>
      <c r="D59" s="8"/>
      <c r="E59" s="8"/>
      <c r="F59" s="8" t="b">
        <v>0</v>
      </c>
      <c r="G59" s="27">
        <v>100</v>
      </c>
      <c r="H59" s="27"/>
      <c r="I59" s="27"/>
      <c r="J59" s="27"/>
      <c r="K59" s="27">
        <v>10</v>
      </c>
      <c r="L59" s="27"/>
      <c r="M59" s="27"/>
      <c r="N59" s="27"/>
      <c r="O59" s="27"/>
      <c r="P59" s="59"/>
      <c r="Q59" s="32" t="b">
        <f t="shared" si="22"/>
        <v>0</v>
      </c>
      <c r="R59" s="9">
        <f t="shared" ref="R59" si="504">IF($Q59=TRUE,G59*$D$1,0)</f>
        <v>0</v>
      </c>
      <c r="S59" s="9">
        <f t="shared" ref="S59" si="505">IF($Q59=TRUE,H59*$D$1,0)</f>
        <v>0</v>
      </c>
      <c r="T59" s="9">
        <f t="shared" ref="T59" si="506">IF($Q59=TRUE,I59*$D$1,0)</f>
        <v>0</v>
      </c>
      <c r="U59" s="9">
        <f t="shared" ref="U59" si="507">IF($Q59=TRUE,J59*$D$1,0)</f>
        <v>0</v>
      </c>
      <c r="V59" s="9">
        <f t="shared" ref="V59" si="508">IF($Q59=TRUE,K59*$D$1,0)</f>
        <v>0</v>
      </c>
      <c r="W59" s="9">
        <f t="shared" ref="W59" si="509">IF($Q59=TRUE,L59*$D$1,0)</f>
        <v>0</v>
      </c>
      <c r="X59" s="9">
        <f t="shared" ref="X59" si="510">IF($Q59=TRUE,M59*$D$1,0)</f>
        <v>0</v>
      </c>
      <c r="Y59" s="9">
        <f t="shared" ref="Y59" si="511">IF($Q59=TRUE,N59*$D$1,0)</f>
        <v>0</v>
      </c>
      <c r="Z59" s="9">
        <f t="shared" ref="Z59" si="512">IF($Q59=TRUE,O59*$D$1,0)</f>
        <v>0</v>
      </c>
      <c r="AA59" s="9">
        <f t="shared" ref="AA59" si="513">IF($Q59=TRUE,P59*$D$1,0)</f>
        <v>0</v>
      </c>
    </row>
    <row r="60" spans="1:27" x14ac:dyDescent="0.2">
      <c r="A60" s="77"/>
      <c r="B60" s="10" t="s">
        <v>28</v>
      </c>
      <c r="C60" s="11" t="s">
        <v>88</v>
      </c>
      <c r="D60" s="12"/>
      <c r="E60" s="25"/>
      <c r="F60" s="25" t="b">
        <v>0</v>
      </c>
      <c r="G60" s="27">
        <v>150</v>
      </c>
      <c r="H60" s="27"/>
      <c r="I60" s="27"/>
      <c r="J60" s="27"/>
      <c r="K60" s="27">
        <v>10</v>
      </c>
      <c r="L60" s="27"/>
      <c r="M60" s="27"/>
      <c r="N60" s="27"/>
      <c r="O60" s="27"/>
      <c r="P60" s="59"/>
      <c r="Q60" s="33" t="b">
        <f t="shared" si="33"/>
        <v>0</v>
      </c>
      <c r="R60" s="9">
        <f t="shared" ref="R60" si="514">IF($Q60=TRUE,G60*$D$2,0)</f>
        <v>0</v>
      </c>
      <c r="S60" s="9">
        <f t="shared" ref="S60" si="515">IF($Q60=TRUE,H60*$D$2,0)</f>
        <v>0</v>
      </c>
      <c r="T60" s="9">
        <f t="shared" ref="T60" si="516">IF($Q60=TRUE,I60*$D$2,0)</f>
        <v>0</v>
      </c>
      <c r="U60" s="9">
        <f t="shared" ref="U60" si="517">IF($Q60=TRUE,J60*$D$2,0)</f>
        <v>0</v>
      </c>
      <c r="V60" s="9">
        <f t="shared" ref="V60" si="518">IF($Q60=TRUE,K60*$D$2,0)</f>
        <v>0</v>
      </c>
      <c r="W60" s="9">
        <f t="shared" ref="W60" si="519">IF($Q60=TRUE,L60*$D$2,0)</f>
        <v>0</v>
      </c>
      <c r="X60" s="9">
        <f t="shared" ref="X60" si="520">IF($Q60=TRUE,M60*$D$2,0)</f>
        <v>0</v>
      </c>
      <c r="Y60" s="9">
        <f t="shared" ref="Y60" si="521">IF($Q60=TRUE,N60*$D$2,0)</f>
        <v>0</v>
      </c>
      <c r="Z60" s="9">
        <f t="shared" ref="Z60" si="522">IF($Q60=TRUE,O60*$D$2,0)</f>
        <v>0</v>
      </c>
      <c r="AA60" s="9">
        <f t="shared" ref="AA60" si="523">IF($Q60=TRUE,P60*$D$2,0)</f>
        <v>0</v>
      </c>
    </row>
    <row r="61" spans="1:27" x14ac:dyDescent="0.2">
      <c r="A61" s="77"/>
      <c r="B61" s="6" t="s">
        <v>23</v>
      </c>
      <c r="C61" s="7" t="s">
        <v>89</v>
      </c>
      <c r="D61" s="8"/>
      <c r="E61" s="8"/>
      <c r="F61" s="8" t="b">
        <v>0</v>
      </c>
      <c r="G61" s="27">
        <v>100</v>
      </c>
      <c r="H61" s="27"/>
      <c r="I61" s="27"/>
      <c r="J61" s="27"/>
      <c r="K61" s="27">
        <v>36</v>
      </c>
      <c r="L61" s="27"/>
      <c r="M61" s="27"/>
      <c r="N61" s="27"/>
      <c r="O61" s="27"/>
      <c r="P61" s="59"/>
      <c r="Q61" s="32" t="b">
        <f t="shared" si="22"/>
        <v>0</v>
      </c>
      <c r="R61" s="9">
        <f t="shared" ref="R61" si="524">IF($Q61=TRUE,G61*$D$1,0)</f>
        <v>0</v>
      </c>
      <c r="S61" s="9">
        <f t="shared" ref="S61" si="525">IF($Q61=TRUE,H61*$D$1,0)</f>
        <v>0</v>
      </c>
      <c r="T61" s="9">
        <f t="shared" ref="T61" si="526">IF($Q61=TRUE,I61*$D$1,0)</f>
        <v>0</v>
      </c>
      <c r="U61" s="9">
        <f t="shared" ref="U61" si="527">IF($Q61=TRUE,J61*$D$1,0)</f>
        <v>0</v>
      </c>
      <c r="V61" s="9">
        <f t="shared" ref="V61" si="528">IF($Q61=TRUE,K61*$D$1,0)</f>
        <v>0</v>
      </c>
      <c r="W61" s="9">
        <f t="shared" ref="W61" si="529">IF($Q61=TRUE,L61*$D$1,0)</f>
        <v>0</v>
      </c>
      <c r="X61" s="9">
        <f t="shared" ref="X61" si="530">IF($Q61=TRUE,M61*$D$1,0)</f>
        <v>0</v>
      </c>
      <c r="Y61" s="9">
        <f t="shared" ref="Y61" si="531">IF($Q61=TRUE,N61*$D$1,0)</f>
        <v>0</v>
      </c>
      <c r="Z61" s="9">
        <f t="shared" ref="Z61" si="532">IF($Q61=TRUE,O61*$D$1,0)</f>
        <v>0</v>
      </c>
      <c r="AA61" s="9">
        <f t="shared" ref="AA61" si="533">IF($Q61=TRUE,P61*$D$1,0)</f>
        <v>0</v>
      </c>
    </row>
    <row r="62" spans="1:27" x14ac:dyDescent="0.2">
      <c r="A62" s="77"/>
      <c r="B62" s="10" t="s">
        <v>28</v>
      </c>
      <c r="C62" s="11" t="s">
        <v>89</v>
      </c>
      <c r="D62" s="12"/>
      <c r="E62" s="25"/>
      <c r="F62" s="25" t="b">
        <v>0</v>
      </c>
      <c r="G62" s="27">
        <v>150</v>
      </c>
      <c r="H62" s="27"/>
      <c r="I62" s="27"/>
      <c r="J62" s="27"/>
      <c r="K62" s="27">
        <v>36</v>
      </c>
      <c r="L62" s="27"/>
      <c r="M62" s="27"/>
      <c r="N62" s="27"/>
      <c r="O62" s="27"/>
      <c r="P62" s="59"/>
      <c r="Q62" s="33" t="b">
        <f t="shared" si="33"/>
        <v>0</v>
      </c>
      <c r="R62" s="9">
        <f t="shared" ref="R62" si="534">IF($Q62=TRUE,G62*$D$2,0)</f>
        <v>0</v>
      </c>
      <c r="S62" s="9">
        <f t="shared" ref="S62" si="535">IF($Q62=TRUE,H62*$D$2,0)</f>
        <v>0</v>
      </c>
      <c r="T62" s="9">
        <f t="shared" ref="T62" si="536">IF($Q62=TRUE,I62*$D$2,0)</f>
        <v>0</v>
      </c>
      <c r="U62" s="9">
        <f t="shared" ref="U62" si="537">IF($Q62=TRUE,J62*$D$2,0)</f>
        <v>0</v>
      </c>
      <c r="V62" s="9">
        <f t="shared" ref="V62" si="538">IF($Q62=TRUE,K62*$D$2,0)</f>
        <v>0</v>
      </c>
      <c r="W62" s="9">
        <f t="shared" ref="W62" si="539">IF($Q62=TRUE,L62*$D$2,0)</f>
        <v>0</v>
      </c>
      <c r="X62" s="9">
        <f t="shared" ref="X62" si="540">IF($Q62=TRUE,M62*$D$2,0)</f>
        <v>0</v>
      </c>
      <c r="Y62" s="9">
        <f t="shared" ref="Y62" si="541">IF($Q62=TRUE,N62*$D$2,0)</f>
        <v>0</v>
      </c>
      <c r="Z62" s="9">
        <f t="shared" ref="Z62" si="542">IF($Q62=TRUE,O62*$D$2,0)</f>
        <v>0</v>
      </c>
      <c r="AA62" s="9">
        <f t="shared" ref="AA62" si="543">IF($Q62=TRUE,P62*$D$2,0)</f>
        <v>0</v>
      </c>
    </row>
    <row r="63" spans="1:27" x14ac:dyDescent="0.2">
      <c r="A63" s="77"/>
      <c r="B63" s="6" t="s">
        <v>23</v>
      </c>
      <c r="C63" s="7" t="s">
        <v>90</v>
      </c>
      <c r="D63" s="8"/>
      <c r="E63" s="8"/>
      <c r="F63" s="8" t="b">
        <v>0</v>
      </c>
      <c r="G63" s="27"/>
      <c r="H63" s="27"/>
      <c r="I63" s="27"/>
      <c r="J63" s="27"/>
      <c r="K63" s="27">
        <v>12</v>
      </c>
      <c r="L63" s="27"/>
      <c r="M63" s="27"/>
      <c r="N63" s="27"/>
      <c r="O63" s="27"/>
      <c r="P63" s="59"/>
      <c r="Q63" s="32" t="b">
        <f t="shared" si="22"/>
        <v>0</v>
      </c>
      <c r="R63" s="9">
        <f t="shared" ref="R63" si="544">IF($Q63=TRUE,G63*$D$1,0)</f>
        <v>0</v>
      </c>
      <c r="S63" s="9">
        <f t="shared" ref="S63" si="545">IF($Q63=TRUE,H63*$D$1,0)</f>
        <v>0</v>
      </c>
      <c r="T63" s="9">
        <f t="shared" ref="T63" si="546">IF($Q63=TRUE,I63*$D$1,0)</f>
        <v>0</v>
      </c>
      <c r="U63" s="9">
        <f t="shared" ref="U63" si="547">IF($Q63=TRUE,J63*$D$1,0)</f>
        <v>0</v>
      </c>
      <c r="V63" s="9">
        <f t="shared" ref="V63" si="548">IF($Q63=TRUE,K63*$D$1,0)</f>
        <v>0</v>
      </c>
      <c r="W63" s="9">
        <f t="shared" ref="W63" si="549">IF($Q63=TRUE,L63*$D$1,0)</f>
        <v>0</v>
      </c>
      <c r="X63" s="9">
        <f t="shared" ref="X63" si="550">IF($Q63=TRUE,M63*$D$1,0)</f>
        <v>0</v>
      </c>
      <c r="Y63" s="9">
        <f t="shared" ref="Y63" si="551">IF($Q63=TRUE,N63*$D$1,0)</f>
        <v>0</v>
      </c>
      <c r="Z63" s="9">
        <f t="shared" ref="Z63" si="552">IF($Q63=TRUE,O63*$D$1,0)</f>
        <v>0</v>
      </c>
      <c r="AA63" s="9">
        <f t="shared" ref="AA63" si="553">IF($Q63=TRUE,P63*$D$1,0)</f>
        <v>0</v>
      </c>
    </row>
    <row r="64" spans="1:27" x14ac:dyDescent="0.2">
      <c r="A64" s="77"/>
      <c r="B64" s="10" t="s">
        <v>28</v>
      </c>
      <c r="C64" s="11" t="s">
        <v>90</v>
      </c>
      <c r="D64" s="12"/>
      <c r="E64" s="25"/>
      <c r="F64" s="25" t="b">
        <v>0</v>
      </c>
      <c r="G64" s="27"/>
      <c r="H64" s="27"/>
      <c r="I64" s="27"/>
      <c r="J64" s="27"/>
      <c r="K64" s="27">
        <v>12</v>
      </c>
      <c r="L64" s="27"/>
      <c r="M64" s="27"/>
      <c r="N64" s="27"/>
      <c r="O64" s="27"/>
      <c r="P64" s="59"/>
      <c r="Q64" s="33" t="b">
        <f t="shared" si="33"/>
        <v>0</v>
      </c>
      <c r="R64" s="9">
        <f t="shared" ref="R64" si="554">IF($Q64=TRUE,G64*$D$2,0)</f>
        <v>0</v>
      </c>
      <c r="S64" s="9">
        <f t="shared" ref="S64" si="555">IF($Q64=TRUE,H64*$D$2,0)</f>
        <v>0</v>
      </c>
      <c r="T64" s="9">
        <f t="shared" ref="T64" si="556">IF($Q64=TRUE,I64*$D$2,0)</f>
        <v>0</v>
      </c>
      <c r="U64" s="9">
        <f t="shared" ref="U64" si="557">IF($Q64=TRUE,J64*$D$2,0)</f>
        <v>0</v>
      </c>
      <c r="V64" s="9">
        <f t="shared" ref="V64" si="558">IF($Q64=TRUE,K64*$D$2,0)</f>
        <v>0</v>
      </c>
      <c r="W64" s="9">
        <f t="shared" ref="W64" si="559">IF($Q64=TRUE,L64*$D$2,0)</f>
        <v>0</v>
      </c>
      <c r="X64" s="9">
        <f t="shared" ref="X64" si="560">IF($Q64=TRUE,M64*$D$2,0)</f>
        <v>0</v>
      </c>
      <c r="Y64" s="9">
        <f t="shared" ref="Y64" si="561">IF($Q64=TRUE,N64*$D$2,0)</f>
        <v>0</v>
      </c>
      <c r="Z64" s="9">
        <f t="shared" ref="Z64" si="562">IF($Q64=TRUE,O64*$D$2,0)</f>
        <v>0</v>
      </c>
      <c r="AA64" s="9">
        <f t="shared" ref="AA64" si="563">IF($Q64=TRUE,P64*$D$2,0)</f>
        <v>0</v>
      </c>
    </row>
    <row r="65" spans="1:27" x14ac:dyDescent="0.2">
      <c r="A65" s="77"/>
      <c r="B65" s="6" t="s">
        <v>23</v>
      </c>
      <c r="C65" s="7" t="s">
        <v>91</v>
      </c>
      <c r="D65" s="8"/>
      <c r="E65" s="8"/>
      <c r="F65" s="8" t="b">
        <v>0</v>
      </c>
      <c r="G65" s="27"/>
      <c r="H65" s="27"/>
      <c r="I65" s="27"/>
      <c r="J65" s="27"/>
      <c r="K65" s="27">
        <v>36</v>
      </c>
      <c r="L65" s="27"/>
      <c r="M65" s="27"/>
      <c r="N65" s="27"/>
      <c r="O65" s="27"/>
      <c r="P65" s="59"/>
      <c r="Q65" s="32" t="b">
        <f t="shared" si="22"/>
        <v>0</v>
      </c>
      <c r="R65" s="9">
        <f t="shared" ref="R65" si="564">IF($Q65=TRUE,G65*$D$1,0)</f>
        <v>0</v>
      </c>
      <c r="S65" s="9">
        <f t="shared" ref="S65" si="565">IF($Q65=TRUE,H65*$D$1,0)</f>
        <v>0</v>
      </c>
      <c r="T65" s="9">
        <f t="shared" ref="T65" si="566">IF($Q65=TRUE,I65*$D$1,0)</f>
        <v>0</v>
      </c>
      <c r="U65" s="9">
        <f t="shared" ref="U65" si="567">IF($Q65=TRUE,J65*$D$1,0)</f>
        <v>0</v>
      </c>
      <c r="V65" s="9">
        <f t="shared" ref="V65" si="568">IF($Q65=TRUE,K65*$D$1,0)</f>
        <v>0</v>
      </c>
      <c r="W65" s="9">
        <f t="shared" ref="W65" si="569">IF($Q65=TRUE,L65*$D$1,0)</f>
        <v>0</v>
      </c>
      <c r="X65" s="9">
        <f t="shared" ref="X65" si="570">IF($Q65=TRUE,M65*$D$1,0)</f>
        <v>0</v>
      </c>
      <c r="Y65" s="9">
        <f t="shared" ref="Y65" si="571">IF($Q65=TRUE,N65*$D$1,0)</f>
        <v>0</v>
      </c>
      <c r="Z65" s="9">
        <f t="shared" ref="Z65" si="572">IF($Q65=TRUE,O65*$D$1,0)</f>
        <v>0</v>
      </c>
      <c r="AA65" s="9">
        <f t="shared" ref="AA65" si="573">IF($Q65=TRUE,P65*$D$1,0)</f>
        <v>0</v>
      </c>
    </row>
    <row r="66" spans="1:27" x14ac:dyDescent="0.2">
      <c r="A66" s="77"/>
      <c r="B66" s="10" t="s">
        <v>28</v>
      </c>
      <c r="C66" s="11" t="s">
        <v>91</v>
      </c>
      <c r="D66" s="12"/>
      <c r="E66" s="25"/>
      <c r="F66" s="25" t="b">
        <v>0</v>
      </c>
      <c r="G66" s="27"/>
      <c r="H66" s="27"/>
      <c r="I66" s="27"/>
      <c r="J66" s="27"/>
      <c r="K66" s="27">
        <v>36</v>
      </c>
      <c r="L66" s="27"/>
      <c r="M66" s="27"/>
      <c r="N66" s="27"/>
      <c r="O66" s="27"/>
      <c r="P66" s="59"/>
      <c r="Q66" s="33" t="b">
        <f t="shared" si="33"/>
        <v>0</v>
      </c>
      <c r="R66" s="9">
        <f t="shared" ref="R66" si="574">IF($Q66=TRUE,G66*$D$2,0)</f>
        <v>0</v>
      </c>
      <c r="S66" s="9">
        <f t="shared" ref="S66" si="575">IF($Q66=TRUE,H66*$D$2,0)</f>
        <v>0</v>
      </c>
      <c r="T66" s="9">
        <f t="shared" ref="T66" si="576">IF($Q66=TRUE,I66*$D$2,0)</f>
        <v>0</v>
      </c>
      <c r="U66" s="9">
        <f t="shared" ref="U66" si="577">IF($Q66=TRUE,J66*$D$2,0)</f>
        <v>0</v>
      </c>
      <c r="V66" s="9">
        <f t="shared" ref="V66" si="578">IF($Q66=TRUE,K66*$D$2,0)</f>
        <v>0</v>
      </c>
      <c r="W66" s="9">
        <f t="shared" ref="W66" si="579">IF($Q66=TRUE,L66*$D$2,0)</f>
        <v>0</v>
      </c>
      <c r="X66" s="9">
        <f t="shared" ref="X66" si="580">IF($Q66=TRUE,M66*$D$2,0)</f>
        <v>0</v>
      </c>
      <c r="Y66" s="9">
        <f t="shared" ref="Y66" si="581">IF($Q66=TRUE,N66*$D$2,0)</f>
        <v>0</v>
      </c>
      <c r="Z66" s="9">
        <f t="shared" ref="Z66" si="582">IF($Q66=TRUE,O66*$D$2,0)</f>
        <v>0</v>
      </c>
      <c r="AA66" s="9">
        <f t="shared" ref="AA66" si="583">IF($Q66=TRUE,P66*$D$2,0)</f>
        <v>0</v>
      </c>
    </row>
    <row r="67" spans="1:27" x14ac:dyDescent="0.2">
      <c r="A67" s="77"/>
      <c r="B67" s="6" t="s">
        <v>23</v>
      </c>
      <c r="C67" s="7" t="s">
        <v>92</v>
      </c>
      <c r="D67" s="8"/>
      <c r="E67" s="8"/>
      <c r="F67" s="8" t="b">
        <v>0</v>
      </c>
      <c r="G67" s="27"/>
      <c r="H67" s="27"/>
      <c r="I67" s="27"/>
      <c r="J67" s="27"/>
      <c r="K67" s="27">
        <v>48</v>
      </c>
      <c r="L67" s="27"/>
      <c r="M67" s="27"/>
      <c r="N67" s="27"/>
      <c r="O67" s="27"/>
      <c r="P67" s="59"/>
      <c r="Q67" s="32" t="b">
        <f t="shared" si="22"/>
        <v>0</v>
      </c>
      <c r="R67" s="9">
        <f t="shared" ref="R67" si="584">IF($Q67=TRUE,G67*$D$1,0)</f>
        <v>0</v>
      </c>
      <c r="S67" s="9">
        <f t="shared" ref="S67" si="585">IF($Q67=TRUE,H67*$D$1,0)</f>
        <v>0</v>
      </c>
      <c r="T67" s="9">
        <f t="shared" ref="T67" si="586">IF($Q67=TRUE,I67*$D$1,0)</f>
        <v>0</v>
      </c>
      <c r="U67" s="9">
        <f t="shared" ref="U67" si="587">IF($Q67=TRUE,J67*$D$1,0)</f>
        <v>0</v>
      </c>
      <c r="V67" s="9">
        <f t="shared" ref="V67" si="588">IF($Q67=TRUE,K67*$D$1,0)</f>
        <v>0</v>
      </c>
      <c r="W67" s="9">
        <f t="shared" ref="W67" si="589">IF($Q67=TRUE,L67*$D$1,0)</f>
        <v>0</v>
      </c>
      <c r="X67" s="9">
        <f t="shared" ref="X67" si="590">IF($Q67=TRUE,M67*$D$1,0)</f>
        <v>0</v>
      </c>
      <c r="Y67" s="9">
        <f t="shared" ref="Y67" si="591">IF($Q67=TRUE,N67*$D$1,0)</f>
        <v>0</v>
      </c>
      <c r="Z67" s="9">
        <f t="shared" ref="Z67" si="592">IF($Q67=TRUE,O67*$D$1,0)</f>
        <v>0</v>
      </c>
      <c r="AA67" s="9">
        <f t="shared" ref="AA67" si="593">IF($Q67=TRUE,P67*$D$1,0)</f>
        <v>0</v>
      </c>
    </row>
    <row r="68" spans="1:27" x14ac:dyDescent="0.2">
      <c r="A68" s="77"/>
      <c r="B68" s="10" t="s">
        <v>28</v>
      </c>
      <c r="C68" s="11" t="s">
        <v>92</v>
      </c>
      <c r="D68" s="12"/>
      <c r="E68" s="25"/>
      <c r="F68" s="25" t="b">
        <v>0</v>
      </c>
      <c r="G68" s="27"/>
      <c r="H68" s="27"/>
      <c r="I68" s="27"/>
      <c r="J68" s="27"/>
      <c r="K68" s="27">
        <v>48</v>
      </c>
      <c r="L68" s="27"/>
      <c r="M68" s="27"/>
      <c r="N68" s="27"/>
      <c r="O68" s="27"/>
      <c r="P68" s="59"/>
      <c r="Q68" s="33" t="b">
        <f t="shared" si="33"/>
        <v>0</v>
      </c>
      <c r="R68" s="9">
        <f t="shared" ref="R68" si="594">IF($Q68=TRUE,G68*$D$2,0)</f>
        <v>0</v>
      </c>
      <c r="S68" s="9">
        <f t="shared" ref="S68" si="595">IF($Q68=TRUE,H68*$D$2,0)</f>
        <v>0</v>
      </c>
      <c r="T68" s="9">
        <f t="shared" ref="T68" si="596">IF($Q68=TRUE,I68*$D$2,0)</f>
        <v>0</v>
      </c>
      <c r="U68" s="9">
        <f t="shared" ref="U68" si="597">IF($Q68=TRUE,J68*$D$2,0)</f>
        <v>0</v>
      </c>
      <c r="V68" s="9">
        <f t="shared" ref="V68" si="598">IF($Q68=TRUE,K68*$D$2,0)</f>
        <v>0</v>
      </c>
      <c r="W68" s="9">
        <f t="shared" ref="W68" si="599">IF($Q68=TRUE,L68*$D$2,0)</f>
        <v>0</v>
      </c>
      <c r="X68" s="9">
        <f t="shared" ref="X68" si="600">IF($Q68=TRUE,M68*$D$2,0)</f>
        <v>0</v>
      </c>
      <c r="Y68" s="9">
        <f t="shared" ref="Y68" si="601">IF($Q68=TRUE,N68*$D$2,0)</f>
        <v>0</v>
      </c>
      <c r="Z68" s="9">
        <f t="shared" ref="Z68" si="602">IF($Q68=TRUE,O68*$D$2,0)</f>
        <v>0</v>
      </c>
      <c r="AA68" s="9">
        <f t="shared" ref="AA68" si="603">IF($Q68=TRUE,P68*$D$2,0)</f>
        <v>0</v>
      </c>
    </row>
    <row r="69" spans="1:27" x14ac:dyDescent="0.2">
      <c r="A69" s="77"/>
      <c r="B69" s="6" t="s">
        <v>23</v>
      </c>
      <c r="C69" s="26" t="s">
        <v>93</v>
      </c>
      <c r="D69" s="8"/>
      <c r="E69" s="8"/>
      <c r="F69" s="8" t="b">
        <v>0</v>
      </c>
      <c r="G69" s="27"/>
      <c r="H69" s="27"/>
      <c r="I69" s="27"/>
      <c r="J69" s="27"/>
      <c r="K69" s="27"/>
      <c r="L69" s="27">
        <v>10</v>
      </c>
      <c r="M69" s="27"/>
      <c r="N69" s="27"/>
      <c r="O69" s="27"/>
      <c r="P69" s="59"/>
      <c r="Q69" s="32" t="b">
        <f t="shared" si="22"/>
        <v>0</v>
      </c>
      <c r="R69" s="9">
        <f t="shared" ref="R69" si="604">IF($Q69=TRUE,G69*$D$1,0)</f>
        <v>0</v>
      </c>
      <c r="S69" s="9">
        <f t="shared" ref="S69" si="605">IF($Q69=TRUE,H69*$D$1,0)</f>
        <v>0</v>
      </c>
      <c r="T69" s="9">
        <f t="shared" ref="T69" si="606">IF($Q69=TRUE,I69*$D$1,0)</f>
        <v>0</v>
      </c>
      <c r="U69" s="9">
        <f t="shared" ref="U69" si="607">IF($Q69=TRUE,J69*$D$1,0)</f>
        <v>0</v>
      </c>
      <c r="V69" s="9">
        <f t="shared" ref="V69" si="608">IF($Q69=TRUE,K69*$D$1,0)</f>
        <v>0</v>
      </c>
      <c r="W69" s="9">
        <f t="shared" ref="W69" si="609">IF($Q69=TRUE,L69*$D$1,0)</f>
        <v>0</v>
      </c>
      <c r="X69" s="9">
        <f t="shared" ref="X69" si="610">IF($Q69=TRUE,M69*$D$1,0)</f>
        <v>0</v>
      </c>
      <c r="Y69" s="9">
        <f t="shared" ref="Y69" si="611">IF($Q69=TRUE,N69*$D$1,0)</f>
        <v>0</v>
      </c>
      <c r="Z69" s="9">
        <f t="shared" ref="Z69" si="612">IF($Q69=TRUE,O69*$D$1,0)</f>
        <v>0</v>
      </c>
      <c r="AA69" s="9">
        <f t="shared" ref="AA69" si="613">IF($Q69=TRUE,P69*$D$1,0)</f>
        <v>0</v>
      </c>
    </row>
    <row r="70" spans="1:27" x14ac:dyDescent="0.2">
      <c r="A70" s="77"/>
      <c r="B70" s="10" t="s">
        <v>28</v>
      </c>
      <c r="C70" s="26" t="s">
        <v>93</v>
      </c>
      <c r="D70" s="12"/>
      <c r="E70" s="25"/>
      <c r="F70" s="25" t="b">
        <v>0</v>
      </c>
      <c r="G70" s="27"/>
      <c r="H70" s="27"/>
      <c r="I70" s="27"/>
      <c r="J70" s="27"/>
      <c r="K70" s="27"/>
      <c r="L70" s="27">
        <v>15</v>
      </c>
      <c r="M70" s="27"/>
      <c r="N70" s="27"/>
      <c r="O70" s="27"/>
      <c r="P70" s="59"/>
      <c r="Q70" s="33" t="b">
        <f t="shared" si="33"/>
        <v>0</v>
      </c>
      <c r="R70" s="9">
        <f t="shared" ref="R70" si="614">IF($Q70=TRUE,G70*$D$2,0)</f>
        <v>0</v>
      </c>
      <c r="S70" s="9">
        <f t="shared" ref="S70" si="615">IF($Q70=TRUE,H70*$D$2,0)</f>
        <v>0</v>
      </c>
      <c r="T70" s="9">
        <f t="shared" ref="T70" si="616">IF($Q70=TRUE,I70*$D$2,0)</f>
        <v>0</v>
      </c>
      <c r="U70" s="9">
        <f t="shared" ref="U70" si="617">IF($Q70=TRUE,J70*$D$2,0)</f>
        <v>0</v>
      </c>
      <c r="V70" s="9">
        <f t="shared" ref="V70" si="618">IF($Q70=TRUE,K70*$D$2,0)</f>
        <v>0</v>
      </c>
      <c r="W70" s="9">
        <f t="shared" ref="W70" si="619">IF($Q70=TRUE,L70*$D$2,0)</f>
        <v>0</v>
      </c>
      <c r="X70" s="9">
        <f t="shared" ref="X70" si="620">IF($Q70=TRUE,M70*$D$2,0)</f>
        <v>0</v>
      </c>
      <c r="Y70" s="9">
        <f t="shared" ref="Y70" si="621">IF($Q70=TRUE,N70*$D$2,0)</f>
        <v>0</v>
      </c>
      <c r="Z70" s="9">
        <f t="shared" ref="Z70" si="622">IF($Q70=TRUE,O70*$D$2,0)</f>
        <v>0</v>
      </c>
      <c r="AA70" s="9">
        <f t="shared" ref="AA70" si="623">IF($Q70=TRUE,P70*$D$2,0)</f>
        <v>0</v>
      </c>
    </row>
    <row r="71" spans="1:27" x14ac:dyDescent="0.2">
      <c r="A71" s="77"/>
      <c r="B71" s="6" t="s">
        <v>23</v>
      </c>
      <c r="C71" s="26" t="s">
        <v>94</v>
      </c>
      <c r="D71" s="8"/>
      <c r="E71" s="8"/>
      <c r="F71" s="8" t="b">
        <v>0</v>
      </c>
      <c r="G71" s="27"/>
      <c r="H71" s="27"/>
      <c r="I71" s="27"/>
      <c r="J71" s="27"/>
      <c r="K71" s="27"/>
      <c r="L71" s="27">
        <v>10</v>
      </c>
      <c r="M71" s="27"/>
      <c r="N71" s="27"/>
      <c r="O71" s="27"/>
      <c r="P71" s="59"/>
      <c r="Q71" s="32" t="b">
        <f t="shared" si="22"/>
        <v>0</v>
      </c>
      <c r="R71" s="9">
        <f t="shared" ref="R71" si="624">IF($Q71=TRUE,G71*$D$1,0)</f>
        <v>0</v>
      </c>
      <c r="S71" s="9">
        <f t="shared" ref="S71" si="625">IF($Q71=TRUE,H71*$D$1,0)</f>
        <v>0</v>
      </c>
      <c r="T71" s="9">
        <f t="shared" ref="T71" si="626">IF($Q71=TRUE,I71*$D$1,0)</f>
        <v>0</v>
      </c>
      <c r="U71" s="9">
        <f t="shared" ref="U71" si="627">IF($Q71=TRUE,J71*$D$1,0)</f>
        <v>0</v>
      </c>
      <c r="V71" s="9">
        <f t="shared" ref="V71" si="628">IF($Q71=TRUE,K71*$D$1,0)</f>
        <v>0</v>
      </c>
      <c r="W71" s="9">
        <f t="shared" ref="W71" si="629">IF($Q71=TRUE,L71*$D$1,0)</f>
        <v>0</v>
      </c>
      <c r="X71" s="9">
        <f t="shared" ref="X71" si="630">IF($Q71=TRUE,M71*$D$1,0)</f>
        <v>0</v>
      </c>
      <c r="Y71" s="9">
        <f t="shared" ref="Y71" si="631">IF($Q71=TRUE,N71*$D$1,0)</f>
        <v>0</v>
      </c>
      <c r="Z71" s="9">
        <f t="shared" ref="Z71" si="632">IF($Q71=TRUE,O71*$D$1,0)</f>
        <v>0</v>
      </c>
      <c r="AA71" s="9">
        <f t="shared" ref="AA71" si="633">IF($Q71=TRUE,P71*$D$1,0)</f>
        <v>0</v>
      </c>
    </row>
    <row r="72" spans="1:27" x14ac:dyDescent="0.2">
      <c r="A72" s="77"/>
      <c r="B72" s="10" t="s">
        <v>28</v>
      </c>
      <c r="C72" s="26" t="s">
        <v>94</v>
      </c>
      <c r="D72" s="12"/>
      <c r="E72" s="25"/>
      <c r="F72" s="25" t="b">
        <v>0</v>
      </c>
      <c r="G72" s="27"/>
      <c r="H72" s="27"/>
      <c r="I72" s="27"/>
      <c r="J72" s="27"/>
      <c r="K72" s="27"/>
      <c r="L72" s="27">
        <v>15</v>
      </c>
      <c r="M72" s="27"/>
      <c r="N72" s="27"/>
      <c r="O72" s="27"/>
      <c r="P72" s="59"/>
      <c r="Q72" s="33" t="b">
        <f t="shared" si="33"/>
        <v>0</v>
      </c>
      <c r="R72" s="9">
        <f t="shared" ref="R72" si="634">IF($Q72=TRUE,G72*$D$2,0)</f>
        <v>0</v>
      </c>
      <c r="S72" s="9">
        <f t="shared" ref="S72" si="635">IF($Q72=TRUE,H72*$D$2,0)</f>
        <v>0</v>
      </c>
      <c r="T72" s="9">
        <f t="shared" ref="T72" si="636">IF($Q72=TRUE,I72*$D$2,0)</f>
        <v>0</v>
      </c>
      <c r="U72" s="9">
        <f t="shared" ref="U72" si="637">IF($Q72=TRUE,J72*$D$2,0)</f>
        <v>0</v>
      </c>
      <c r="V72" s="9">
        <f t="shared" ref="V72" si="638">IF($Q72=TRUE,K72*$D$2,0)</f>
        <v>0</v>
      </c>
      <c r="W72" s="9">
        <f t="shared" ref="W72" si="639">IF($Q72=TRUE,L72*$D$2,0)</f>
        <v>0</v>
      </c>
      <c r="X72" s="9">
        <f t="shared" ref="X72" si="640">IF($Q72=TRUE,M72*$D$2,0)</f>
        <v>0</v>
      </c>
      <c r="Y72" s="9">
        <f t="shared" ref="Y72" si="641">IF($Q72=TRUE,N72*$D$2,0)</f>
        <v>0</v>
      </c>
      <c r="Z72" s="9">
        <f t="shared" ref="Z72" si="642">IF($Q72=TRUE,O72*$D$2,0)</f>
        <v>0</v>
      </c>
      <c r="AA72" s="9">
        <f t="shared" ref="AA72" si="643">IF($Q72=TRUE,P72*$D$2,0)</f>
        <v>0</v>
      </c>
    </row>
    <row r="73" spans="1:27" x14ac:dyDescent="0.2">
      <c r="A73" s="77"/>
      <c r="B73" s="6" t="s">
        <v>23</v>
      </c>
      <c r="C73" s="26" t="s">
        <v>95</v>
      </c>
      <c r="D73" s="8"/>
      <c r="E73" s="8"/>
      <c r="F73" s="8" t="b">
        <v>0</v>
      </c>
      <c r="G73" s="27"/>
      <c r="H73" s="27"/>
      <c r="I73" s="27"/>
      <c r="J73" s="27"/>
      <c r="K73" s="27"/>
      <c r="L73" s="27">
        <v>5</v>
      </c>
      <c r="M73" s="27"/>
      <c r="N73" s="27"/>
      <c r="O73" s="27"/>
      <c r="P73" s="59"/>
      <c r="Q73" s="32" t="b">
        <f t="shared" si="22"/>
        <v>0</v>
      </c>
      <c r="R73" s="9">
        <f t="shared" ref="R73" si="644">IF($Q73=TRUE,G73*$D$1,0)</f>
        <v>0</v>
      </c>
      <c r="S73" s="9">
        <f t="shared" ref="S73" si="645">IF($Q73=TRUE,H73*$D$1,0)</f>
        <v>0</v>
      </c>
      <c r="T73" s="9">
        <f t="shared" ref="T73" si="646">IF($Q73=TRUE,I73*$D$1,0)</f>
        <v>0</v>
      </c>
      <c r="U73" s="9">
        <f t="shared" ref="U73" si="647">IF($Q73=TRUE,J73*$D$1,0)</f>
        <v>0</v>
      </c>
      <c r="V73" s="9">
        <f t="shared" ref="V73" si="648">IF($Q73=TRUE,K73*$D$1,0)</f>
        <v>0</v>
      </c>
      <c r="W73" s="9">
        <f t="shared" ref="W73" si="649">IF($Q73=TRUE,L73*$D$1,0)</f>
        <v>0</v>
      </c>
      <c r="X73" s="9">
        <f t="shared" ref="X73" si="650">IF($Q73=TRUE,M73*$D$1,0)</f>
        <v>0</v>
      </c>
      <c r="Y73" s="9">
        <f t="shared" ref="Y73" si="651">IF($Q73=TRUE,N73*$D$1,0)</f>
        <v>0</v>
      </c>
      <c r="Z73" s="9">
        <f t="shared" ref="Z73" si="652">IF($Q73=TRUE,O73*$D$1,0)</f>
        <v>0</v>
      </c>
      <c r="AA73" s="9">
        <f t="shared" ref="AA73" si="653">IF($Q73=TRUE,P73*$D$1,0)</f>
        <v>0</v>
      </c>
    </row>
    <row r="74" spans="1:27" x14ac:dyDescent="0.2">
      <c r="A74" s="77"/>
      <c r="B74" s="10" t="s">
        <v>28</v>
      </c>
      <c r="C74" s="26" t="s">
        <v>95</v>
      </c>
      <c r="D74" s="12"/>
      <c r="E74" s="25"/>
      <c r="F74" s="25" t="b">
        <v>0</v>
      </c>
      <c r="G74" s="27"/>
      <c r="H74" s="27"/>
      <c r="I74" s="27"/>
      <c r="J74" s="27"/>
      <c r="K74" s="27"/>
      <c r="L74" s="27">
        <v>10</v>
      </c>
      <c r="M74" s="27"/>
      <c r="N74" s="27"/>
      <c r="O74" s="27"/>
      <c r="P74" s="59"/>
      <c r="Q74" s="33" t="b">
        <f t="shared" si="33"/>
        <v>0</v>
      </c>
      <c r="R74" s="9">
        <f t="shared" ref="R74" si="654">IF($Q74=TRUE,G74*$D$2,0)</f>
        <v>0</v>
      </c>
      <c r="S74" s="9">
        <f t="shared" ref="S74" si="655">IF($Q74=TRUE,H74*$D$2,0)</f>
        <v>0</v>
      </c>
      <c r="T74" s="9">
        <f t="shared" ref="T74" si="656">IF($Q74=TRUE,I74*$D$2,0)</f>
        <v>0</v>
      </c>
      <c r="U74" s="9">
        <f t="shared" ref="U74" si="657">IF($Q74=TRUE,J74*$D$2,0)</f>
        <v>0</v>
      </c>
      <c r="V74" s="9">
        <f t="shared" ref="V74" si="658">IF($Q74=TRUE,K74*$D$2,0)</f>
        <v>0</v>
      </c>
      <c r="W74" s="9">
        <f t="shared" ref="W74" si="659">IF($Q74=TRUE,L74*$D$2,0)</f>
        <v>0</v>
      </c>
      <c r="X74" s="9">
        <f t="shared" ref="X74" si="660">IF($Q74=TRUE,M74*$D$2,0)</f>
        <v>0</v>
      </c>
      <c r="Y74" s="9">
        <f t="shared" ref="Y74" si="661">IF($Q74=TRUE,N74*$D$2,0)</f>
        <v>0</v>
      </c>
      <c r="Z74" s="9">
        <f t="shared" ref="Z74" si="662">IF($Q74=TRUE,O74*$D$2,0)</f>
        <v>0</v>
      </c>
      <c r="AA74" s="9">
        <f t="shared" ref="AA74" si="663">IF($Q74=TRUE,P74*$D$2,0)</f>
        <v>0</v>
      </c>
    </row>
    <row r="75" spans="1:27" x14ac:dyDescent="0.2">
      <c r="A75" s="77"/>
      <c r="B75" s="6" t="s">
        <v>23</v>
      </c>
      <c r="C75" s="7" t="s">
        <v>96</v>
      </c>
      <c r="D75" s="8"/>
      <c r="E75" s="8"/>
      <c r="F75" s="8" t="b">
        <v>0</v>
      </c>
      <c r="G75" s="27"/>
      <c r="H75" s="27"/>
      <c r="I75" s="27"/>
      <c r="J75" s="27"/>
      <c r="K75" s="27"/>
      <c r="L75" s="27"/>
      <c r="M75" s="27"/>
      <c r="N75" s="27"/>
      <c r="O75" s="27"/>
      <c r="P75" s="59"/>
      <c r="Q75" s="32" t="b">
        <f t="shared" ref="Q75:Q137" si="664">AND($D$1&gt;0,F75=TRUE)</f>
        <v>0</v>
      </c>
      <c r="R75" s="9">
        <f t="shared" ref="R75" si="665">IF($Q75=TRUE,G75*$D$1,0)</f>
        <v>0</v>
      </c>
      <c r="S75" s="9">
        <f t="shared" ref="S75" si="666">IF($Q75=TRUE,H75*$D$1,0)</f>
        <v>0</v>
      </c>
      <c r="T75" s="9">
        <f t="shared" ref="T75" si="667">IF($Q75=TRUE,I75*$D$1,0)</f>
        <v>0</v>
      </c>
      <c r="U75" s="9">
        <f t="shared" ref="U75" si="668">IF($Q75=TRUE,J75*$D$1,0)</f>
        <v>0</v>
      </c>
      <c r="V75" s="9">
        <f t="shared" ref="V75" si="669">IF($Q75=TRUE,K75*$D$1,0)</f>
        <v>0</v>
      </c>
      <c r="W75" s="9">
        <f t="shared" ref="W75" si="670">IF($Q75=TRUE,L75*$D$1,0)</f>
        <v>0</v>
      </c>
      <c r="X75" s="9">
        <f t="shared" ref="X75" si="671">IF($Q75=TRUE,M75*$D$1,0)</f>
        <v>0</v>
      </c>
      <c r="Y75" s="9">
        <f t="shared" ref="Y75" si="672">IF($Q75=TRUE,N75*$D$1,0)</f>
        <v>0</v>
      </c>
      <c r="Z75" s="9">
        <f t="shared" ref="Z75" si="673">IF($Q75=TRUE,O75*$D$1,0)</f>
        <v>0</v>
      </c>
      <c r="AA75" s="9">
        <f t="shared" ref="AA75" si="674">IF($Q75=TRUE,P75*$D$1,0)</f>
        <v>0</v>
      </c>
    </row>
    <row r="76" spans="1:27" x14ac:dyDescent="0.2">
      <c r="A76" s="77"/>
      <c r="B76" s="10" t="s">
        <v>28</v>
      </c>
      <c r="C76" s="11" t="s">
        <v>96</v>
      </c>
      <c r="D76" s="12"/>
      <c r="E76" s="25"/>
      <c r="F76" s="25" t="b">
        <v>0</v>
      </c>
      <c r="G76" s="27"/>
      <c r="H76" s="27"/>
      <c r="I76" s="27"/>
      <c r="J76" s="27"/>
      <c r="K76" s="27"/>
      <c r="L76" s="27"/>
      <c r="M76" s="27"/>
      <c r="N76" s="27">
        <v>146.51</v>
      </c>
      <c r="O76" s="27"/>
      <c r="P76" s="59"/>
      <c r="Q76" s="33" t="b">
        <f t="shared" ref="Q76:Q138" si="675">AND($D$2&gt;0,F76=TRUE)</f>
        <v>0</v>
      </c>
      <c r="R76" s="9">
        <f t="shared" ref="R76" si="676">IF($Q76=TRUE,G76*$D$2,0)</f>
        <v>0</v>
      </c>
      <c r="S76" s="9">
        <f t="shared" ref="S76" si="677">IF($Q76=TRUE,H76*$D$2,0)</f>
        <v>0</v>
      </c>
      <c r="T76" s="9">
        <f t="shared" ref="T76" si="678">IF($Q76=TRUE,I76*$D$2,0)</f>
        <v>0</v>
      </c>
      <c r="U76" s="9">
        <f t="shared" ref="U76" si="679">IF($Q76=TRUE,J76*$D$2,0)</f>
        <v>0</v>
      </c>
      <c r="V76" s="9">
        <f t="shared" ref="V76" si="680">IF($Q76=TRUE,K76*$D$2,0)</f>
        <v>0</v>
      </c>
      <c r="W76" s="9">
        <f t="shared" ref="W76" si="681">IF($Q76=TRUE,L76*$D$2,0)</f>
        <v>0</v>
      </c>
      <c r="X76" s="9">
        <f t="shared" ref="X76" si="682">IF($Q76=TRUE,M76*$D$2,0)</f>
        <v>0</v>
      </c>
      <c r="Y76" s="9">
        <f t="shared" ref="Y76" si="683">IF($Q76=TRUE,N76*$D$2,0)</f>
        <v>0</v>
      </c>
      <c r="Z76" s="9">
        <f t="shared" ref="Z76" si="684">IF($Q76=TRUE,O76*$D$2,0)</f>
        <v>0</v>
      </c>
      <c r="AA76" s="9">
        <f t="shared" ref="AA76" si="685">IF($Q76=TRUE,P76*$D$2,0)</f>
        <v>0</v>
      </c>
    </row>
    <row r="77" spans="1:27" x14ac:dyDescent="0.2">
      <c r="A77" s="77"/>
      <c r="B77" s="6" t="s">
        <v>23</v>
      </c>
      <c r="C77" s="7" t="s">
        <v>97</v>
      </c>
      <c r="D77" s="8"/>
      <c r="E77" s="8"/>
      <c r="F77" s="8" t="b">
        <v>0</v>
      </c>
      <c r="G77" s="27"/>
      <c r="H77" s="27"/>
      <c r="I77" s="27"/>
      <c r="J77" s="27"/>
      <c r="K77" s="27"/>
      <c r="L77" s="27"/>
      <c r="M77" s="27"/>
      <c r="N77" s="27">
        <v>124.21</v>
      </c>
      <c r="O77" s="27"/>
      <c r="P77" s="59"/>
      <c r="Q77" s="32" t="b">
        <f t="shared" si="664"/>
        <v>0</v>
      </c>
      <c r="R77" s="9">
        <f t="shared" ref="R77" si="686">IF($Q77=TRUE,G77*$D$1,0)</f>
        <v>0</v>
      </c>
      <c r="S77" s="9">
        <f t="shared" ref="S77" si="687">IF($Q77=TRUE,H77*$D$1,0)</f>
        <v>0</v>
      </c>
      <c r="T77" s="9">
        <f t="shared" ref="T77" si="688">IF($Q77=TRUE,I77*$D$1,0)</f>
        <v>0</v>
      </c>
      <c r="U77" s="9">
        <f t="shared" ref="U77" si="689">IF($Q77=TRUE,J77*$D$1,0)</f>
        <v>0</v>
      </c>
      <c r="V77" s="9">
        <f t="shared" ref="V77" si="690">IF($Q77=TRUE,K77*$D$1,0)</f>
        <v>0</v>
      </c>
      <c r="W77" s="9">
        <f t="shared" ref="W77" si="691">IF($Q77=TRUE,L77*$D$1,0)</f>
        <v>0</v>
      </c>
      <c r="X77" s="9">
        <f t="shared" ref="X77" si="692">IF($Q77=TRUE,M77*$D$1,0)</f>
        <v>0</v>
      </c>
      <c r="Y77" s="9">
        <f t="shared" ref="Y77" si="693">IF($Q77=TRUE,N77*$D$1,0)</f>
        <v>0</v>
      </c>
      <c r="Z77" s="9">
        <f t="shared" ref="Z77" si="694">IF($Q77=TRUE,O77*$D$1,0)</f>
        <v>0</v>
      </c>
      <c r="AA77" s="9">
        <f t="shared" ref="AA77" si="695">IF($Q77=TRUE,P77*$D$1,0)</f>
        <v>0</v>
      </c>
    </row>
    <row r="78" spans="1:27" x14ac:dyDescent="0.2">
      <c r="A78" s="77"/>
      <c r="B78" s="10" t="s">
        <v>28</v>
      </c>
      <c r="C78" s="11" t="s">
        <v>97</v>
      </c>
      <c r="D78" s="12"/>
      <c r="E78" s="25"/>
      <c r="F78" s="25" t="b">
        <v>0</v>
      </c>
      <c r="G78" s="27"/>
      <c r="H78" s="27"/>
      <c r="I78" s="27"/>
      <c r="J78" s="27"/>
      <c r="K78" s="27"/>
      <c r="L78" s="27"/>
      <c r="M78" s="27"/>
      <c r="N78" s="27">
        <v>320.55</v>
      </c>
      <c r="O78" s="27"/>
      <c r="P78" s="59"/>
      <c r="Q78" s="33" t="b">
        <f t="shared" si="675"/>
        <v>0</v>
      </c>
      <c r="R78" s="9">
        <f t="shared" ref="R78" si="696">IF($Q78=TRUE,G78*$D$2,0)</f>
        <v>0</v>
      </c>
      <c r="S78" s="9">
        <f t="shared" ref="S78" si="697">IF($Q78=TRUE,H78*$D$2,0)</f>
        <v>0</v>
      </c>
      <c r="T78" s="9">
        <f t="shared" ref="T78" si="698">IF($Q78=TRUE,I78*$D$2,0)</f>
        <v>0</v>
      </c>
      <c r="U78" s="9">
        <f t="shared" ref="U78" si="699">IF($Q78=TRUE,J78*$D$2,0)</f>
        <v>0</v>
      </c>
      <c r="V78" s="9">
        <f t="shared" ref="V78" si="700">IF($Q78=TRUE,K78*$D$2,0)</f>
        <v>0</v>
      </c>
      <c r="W78" s="9">
        <f t="shared" ref="W78" si="701">IF($Q78=TRUE,L78*$D$2,0)</f>
        <v>0</v>
      </c>
      <c r="X78" s="9">
        <f t="shared" ref="X78" si="702">IF($Q78=TRUE,M78*$D$2,0)</f>
        <v>0</v>
      </c>
      <c r="Y78" s="9">
        <f t="shared" ref="Y78" si="703">IF($Q78=TRUE,N78*$D$2,0)</f>
        <v>0</v>
      </c>
      <c r="Z78" s="9">
        <f t="shared" ref="Z78" si="704">IF($Q78=TRUE,O78*$D$2,0)</f>
        <v>0</v>
      </c>
      <c r="AA78" s="9">
        <f t="shared" ref="AA78" si="705">IF($Q78=TRUE,P78*$D$2,0)</f>
        <v>0</v>
      </c>
    </row>
    <row r="79" spans="1:27" x14ac:dyDescent="0.2">
      <c r="A79" s="77"/>
      <c r="B79" s="6" t="s">
        <v>23</v>
      </c>
      <c r="C79" s="7" t="s">
        <v>98</v>
      </c>
      <c r="D79" s="8"/>
      <c r="E79" s="8"/>
      <c r="F79" s="8" t="b">
        <v>0</v>
      </c>
      <c r="G79" s="27"/>
      <c r="H79" s="27"/>
      <c r="I79" s="27"/>
      <c r="J79" s="27"/>
      <c r="K79" s="27"/>
      <c r="L79" s="27"/>
      <c r="M79" s="27"/>
      <c r="N79" s="27">
        <v>76.44</v>
      </c>
      <c r="O79" s="27"/>
      <c r="P79" s="59"/>
      <c r="Q79" s="32" t="b">
        <f t="shared" si="664"/>
        <v>0</v>
      </c>
      <c r="R79" s="9">
        <f t="shared" ref="R79" si="706">IF($Q79=TRUE,G79*$D$1,0)</f>
        <v>0</v>
      </c>
      <c r="S79" s="9">
        <f t="shared" ref="S79" si="707">IF($Q79=TRUE,H79*$D$1,0)</f>
        <v>0</v>
      </c>
      <c r="T79" s="9">
        <f t="shared" ref="T79" si="708">IF($Q79=TRUE,I79*$D$1,0)</f>
        <v>0</v>
      </c>
      <c r="U79" s="9">
        <f t="shared" ref="U79" si="709">IF($Q79=TRUE,J79*$D$1,0)</f>
        <v>0</v>
      </c>
      <c r="V79" s="9">
        <f t="shared" ref="V79" si="710">IF($Q79=TRUE,K79*$D$1,0)</f>
        <v>0</v>
      </c>
      <c r="W79" s="9">
        <f t="shared" ref="W79" si="711">IF($Q79=TRUE,L79*$D$1,0)</f>
        <v>0</v>
      </c>
      <c r="X79" s="9">
        <f t="shared" ref="X79" si="712">IF($Q79=TRUE,M79*$D$1,0)</f>
        <v>0</v>
      </c>
      <c r="Y79" s="9">
        <f t="shared" ref="Y79" si="713">IF($Q79=TRUE,N79*$D$1,0)</f>
        <v>0</v>
      </c>
      <c r="Z79" s="9">
        <f t="shared" ref="Z79" si="714">IF($Q79=TRUE,O79*$D$1,0)</f>
        <v>0</v>
      </c>
      <c r="AA79" s="9">
        <f t="shared" ref="AA79" si="715">IF($Q79=TRUE,P79*$D$1,0)</f>
        <v>0</v>
      </c>
    </row>
    <row r="80" spans="1:27" x14ac:dyDescent="0.2">
      <c r="A80" s="77"/>
      <c r="B80" s="10" t="s">
        <v>28</v>
      </c>
      <c r="C80" s="11" t="s">
        <v>98</v>
      </c>
      <c r="D80" s="12"/>
      <c r="E80" s="25"/>
      <c r="F80" s="25" t="b">
        <v>0</v>
      </c>
      <c r="G80" s="27"/>
      <c r="H80" s="27"/>
      <c r="I80" s="27"/>
      <c r="J80" s="27"/>
      <c r="K80" s="27"/>
      <c r="L80" s="27"/>
      <c r="M80" s="27"/>
      <c r="N80" s="27">
        <v>25.48</v>
      </c>
      <c r="O80" s="27"/>
      <c r="P80" s="59"/>
      <c r="Q80" s="33" t="b">
        <f t="shared" si="675"/>
        <v>0</v>
      </c>
      <c r="R80" s="9">
        <f t="shared" ref="R80" si="716">IF($Q80=TRUE,G80*$D$2,0)</f>
        <v>0</v>
      </c>
      <c r="S80" s="9">
        <f t="shared" ref="S80" si="717">IF($Q80=TRUE,H80*$D$2,0)</f>
        <v>0</v>
      </c>
      <c r="T80" s="9">
        <f t="shared" ref="T80" si="718">IF($Q80=TRUE,I80*$D$2,0)</f>
        <v>0</v>
      </c>
      <c r="U80" s="9">
        <f t="shared" ref="U80" si="719">IF($Q80=TRUE,J80*$D$2,0)</f>
        <v>0</v>
      </c>
      <c r="V80" s="9">
        <f t="shared" ref="V80" si="720">IF($Q80=TRUE,K80*$D$2,0)</f>
        <v>0</v>
      </c>
      <c r="W80" s="9">
        <f t="shared" ref="W80" si="721">IF($Q80=TRUE,L80*$D$2,0)</f>
        <v>0</v>
      </c>
      <c r="X80" s="9">
        <f t="shared" ref="X80" si="722">IF($Q80=TRUE,M80*$D$2,0)</f>
        <v>0</v>
      </c>
      <c r="Y80" s="9">
        <f t="shared" ref="Y80" si="723">IF($Q80=TRUE,N80*$D$2,0)</f>
        <v>0</v>
      </c>
      <c r="Z80" s="9">
        <f t="shared" ref="Z80" si="724">IF($Q80=TRUE,O80*$D$2,0)</f>
        <v>0</v>
      </c>
      <c r="AA80" s="9">
        <f t="shared" ref="AA80" si="725">IF($Q80=TRUE,P80*$D$2,0)</f>
        <v>0</v>
      </c>
    </row>
    <row r="81" spans="1:27" x14ac:dyDescent="0.2">
      <c r="A81" s="77"/>
      <c r="B81" s="6" t="s">
        <v>23</v>
      </c>
      <c r="C81" s="7" t="s">
        <v>99</v>
      </c>
      <c r="D81" s="8"/>
      <c r="E81" s="8"/>
      <c r="F81" s="8" t="b">
        <v>0</v>
      </c>
      <c r="G81" s="27">
        <v>300</v>
      </c>
      <c r="H81" s="27"/>
      <c r="I81" s="27"/>
      <c r="J81" s="27"/>
      <c r="K81" s="27"/>
      <c r="L81" s="27"/>
      <c r="M81" s="27"/>
      <c r="N81" s="27">
        <v>718.35</v>
      </c>
      <c r="O81" s="27"/>
      <c r="P81" s="59"/>
      <c r="Q81" s="32" t="b">
        <f t="shared" si="664"/>
        <v>0</v>
      </c>
      <c r="R81" s="9">
        <f t="shared" ref="R81" si="726">IF($Q81=TRUE,G81*$D$1,0)</f>
        <v>0</v>
      </c>
      <c r="S81" s="9">
        <f t="shared" ref="S81" si="727">IF($Q81=TRUE,H81*$D$1,0)</f>
        <v>0</v>
      </c>
      <c r="T81" s="9">
        <f t="shared" ref="T81" si="728">IF($Q81=TRUE,I81*$D$1,0)</f>
        <v>0</v>
      </c>
      <c r="U81" s="9">
        <f t="shared" ref="U81" si="729">IF($Q81=TRUE,J81*$D$1,0)</f>
        <v>0</v>
      </c>
      <c r="V81" s="9">
        <f t="shared" ref="V81" si="730">IF($Q81=TRUE,K81*$D$1,0)</f>
        <v>0</v>
      </c>
      <c r="W81" s="9">
        <f t="shared" ref="W81" si="731">IF($Q81=TRUE,L81*$D$1,0)</f>
        <v>0</v>
      </c>
      <c r="X81" s="9">
        <f t="shared" ref="X81" si="732">IF($Q81=TRUE,M81*$D$1,0)</f>
        <v>0</v>
      </c>
      <c r="Y81" s="9">
        <f t="shared" ref="Y81" si="733">IF($Q81=TRUE,N81*$D$1,0)</f>
        <v>0</v>
      </c>
      <c r="Z81" s="9">
        <f t="shared" ref="Z81" si="734">IF($Q81=TRUE,O81*$D$1,0)</f>
        <v>0</v>
      </c>
      <c r="AA81" s="9">
        <f t="shared" ref="AA81" si="735">IF($Q81=TRUE,P81*$D$1,0)</f>
        <v>0</v>
      </c>
    </row>
    <row r="82" spans="1:27" x14ac:dyDescent="0.2">
      <c r="A82" s="77"/>
      <c r="B82" s="10" t="s">
        <v>28</v>
      </c>
      <c r="C82" s="11" t="s">
        <v>99</v>
      </c>
      <c r="D82" s="12"/>
      <c r="E82" s="25"/>
      <c r="F82" s="25" t="b">
        <v>0</v>
      </c>
      <c r="G82" s="27">
        <v>450</v>
      </c>
      <c r="H82" s="27"/>
      <c r="I82" s="27"/>
      <c r="J82" s="27"/>
      <c r="K82" s="27"/>
      <c r="L82" s="27"/>
      <c r="M82" s="27"/>
      <c r="N82" s="27">
        <v>1344.88</v>
      </c>
      <c r="O82" s="27"/>
      <c r="P82" s="59"/>
      <c r="Q82" s="33" t="b">
        <f t="shared" si="675"/>
        <v>0</v>
      </c>
      <c r="R82" s="9">
        <f t="shared" ref="R82" si="736">IF($Q82=TRUE,G82*$D$2,0)</f>
        <v>0</v>
      </c>
      <c r="S82" s="9">
        <f t="shared" ref="S82" si="737">IF($Q82=TRUE,H82*$D$2,0)</f>
        <v>0</v>
      </c>
      <c r="T82" s="9">
        <f t="shared" ref="T82" si="738">IF($Q82=TRUE,I82*$D$2,0)</f>
        <v>0</v>
      </c>
      <c r="U82" s="9">
        <f t="shared" ref="U82" si="739">IF($Q82=TRUE,J82*$D$2,0)</f>
        <v>0</v>
      </c>
      <c r="V82" s="9">
        <f t="shared" ref="V82" si="740">IF($Q82=TRUE,K82*$D$2,0)</f>
        <v>0</v>
      </c>
      <c r="W82" s="9">
        <f t="shared" ref="W82" si="741">IF($Q82=TRUE,L82*$D$2,0)</f>
        <v>0</v>
      </c>
      <c r="X82" s="9">
        <f t="shared" ref="X82" si="742">IF($Q82=TRUE,M82*$D$2,0)</f>
        <v>0</v>
      </c>
      <c r="Y82" s="9">
        <f t="shared" ref="Y82" si="743">IF($Q82=TRUE,N82*$D$2,0)</f>
        <v>0</v>
      </c>
      <c r="Z82" s="9">
        <f t="shared" ref="Z82" si="744">IF($Q82=TRUE,O82*$D$2,0)</f>
        <v>0</v>
      </c>
      <c r="AA82" s="9">
        <f t="shared" ref="AA82" si="745">IF($Q82=TRUE,P82*$D$2,0)</f>
        <v>0</v>
      </c>
    </row>
    <row r="83" spans="1:27" x14ac:dyDescent="0.2">
      <c r="A83" s="77"/>
      <c r="B83" s="6" t="s">
        <v>23</v>
      </c>
      <c r="C83" s="7" t="s">
        <v>100</v>
      </c>
      <c r="D83" s="8"/>
      <c r="E83" s="8"/>
      <c r="F83" s="8" t="b">
        <v>0</v>
      </c>
      <c r="G83" s="27"/>
      <c r="H83" s="27"/>
      <c r="I83" s="27"/>
      <c r="J83" s="27"/>
      <c r="K83" s="27"/>
      <c r="L83" s="27"/>
      <c r="M83" s="27">
        <v>25</v>
      </c>
      <c r="N83" s="27"/>
      <c r="O83" s="27">
        <v>245</v>
      </c>
      <c r="P83" s="59"/>
      <c r="Q83" s="32" t="b">
        <f t="shared" si="664"/>
        <v>0</v>
      </c>
      <c r="R83" s="9">
        <f t="shared" ref="R83" si="746">IF($Q83=TRUE,G83*$D$1,0)</f>
        <v>0</v>
      </c>
      <c r="S83" s="9">
        <f t="shared" ref="S83" si="747">IF($Q83=TRUE,H83*$D$1,0)</f>
        <v>0</v>
      </c>
      <c r="T83" s="9">
        <f t="shared" ref="T83" si="748">IF($Q83=TRUE,I83*$D$1,0)</f>
        <v>0</v>
      </c>
      <c r="U83" s="9">
        <f t="shared" ref="U83" si="749">IF($Q83=TRUE,J83*$D$1,0)</f>
        <v>0</v>
      </c>
      <c r="V83" s="9">
        <f t="shared" ref="V83" si="750">IF($Q83=TRUE,K83*$D$1,0)</f>
        <v>0</v>
      </c>
      <c r="W83" s="9">
        <f t="shared" ref="W83" si="751">IF($Q83=TRUE,L83*$D$1,0)</f>
        <v>0</v>
      </c>
      <c r="X83" s="9">
        <f t="shared" ref="X83" si="752">IF($Q83=TRUE,M83*$D$1,0)</f>
        <v>0</v>
      </c>
      <c r="Y83" s="9">
        <f t="shared" ref="Y83" si="753">IF($Q83=TRUE,N83*$D$1,0)</f>
        <v>0</v>
      </c>
      <c r="Z83" s="9">
        <f t="shared" ref="Z83" si="754">IF($Q83=TRUE,O83*$D$1,0)</f>
        <v>0</v>
      </c>
      <c r="AA83" s="9">
        <f t="shared" ref="AA83" si="755">IF($Q83=TRUE,P83*$D$1,0)</f>
        <v>0</v>
      </c>
    </row>
    <row r="84" spans="1:27" x14ac:dyDescent="0.2">
      <c r="A84" s="77"/>
      <c r="B84" s="10" t="s">
        <v>28</v>
      </c>
      <c r="C84" s="11" t="s">
        <v>100</v>
      </c>
      <c r="D84" s="12"/>
      <c r="E84" s="25"/>
      <c r="F84" s="25" t="b">
        <v>0</v>
      </c>
      <c r="G84" s="27"/>
      <c r="H84" s="27"/>
      <c r="I84" s="27"/>
      <c r="J84" s="27"/>
      <c r="K84" s="27"/>
      <c r="L84" s="27"/>
      <c r="M84" s="27">
        <v>51</v>
      </c>
      <c r="N84" s="27"/>
      <c r="O84" s="27">
        <v>245</v>
      </c>
      <c r="P84" s="59"/>
      <c r="Q84" s="33" t="b">
        <f t="shared" si="675"/>
        <v>0</v>
      </c>
      <c r="R84" s="9">
        <f t="shared" ref="R84" si="756">IF($Q84=TRUE,G84*$D$2,0)</f>
        <v>0</v>
      </c>
      <c r="S84" s="9">
        <f t="shared" ref="S84" si="757">IF($Q84=TRUE,H84*$D$2,0)</f>
        <v>0</v>
      </c>
      <c r="T84" s="9">
        <f t="shared" ref="T84" si="758">IF($Q84=TRUE,I84*$D$2,0)</f>
        <v>0</v>
      </c>
      <c r="U84" s="9">
        <f t="shared" ref="U84" si="759">IF($Q84=TRUE,J84*$D$2,0)</f>
        <v>0</v>
      </c>
      <c r="V84" s="9">
        <f t="shared" ref="V84" si="760">IF($Q84=TRUE,K84*$D$2,0)</f>
        <v>0</v>
      </c>
      <c r="W84" s="9">
        <f t="shared" ref="W84" si="761">IF($Q84=TRUE,L84*$D$2,0)</f>
        <v>0</v>
      </c>
      <c r="X84" s="9">
        <f t="shared" ref="X84" si="762">IF($Q84=TRUE,M84*$D$2,0)</f>
        <v>0</v>
      </c>
      <c r="Y84" s="9">
        <f t="shared" ref="Y84" si="763">IF($Q84=TRUE,N84*$D$2,0)</f>
        <v>0</v>
      </c>
      <c r="Z84" s="9">
        <f t="shared" ref="Z84" si="764">IF($Q84=TRUE,O84*$D$2,0)</f>
        <v>0</v>
      </c>
      <c r="AA84" s="9">
        <f t="shared" ref="AA84" si="765">IF($Q84=TRUE,P84*$D$2,0)</f>
        <v>0</v>
      </c>
    </row>
    <row r="85" spans="1:27" x14ac:dyDescent="0.2">
      <c r="A85" s="77"/>
      <c r="B85" s="6" t="s">
        <v>23</v>
      </c>
      <c r="C85" s="7" t="s">
        <v>101</v>
      </c>
      <c r="D85" s="8"/>
      <c r="E85" s="8"/>
      <c r="F85" s="8" t="b">
        <v>0</v>
      </c>
      <c r="G85" s="27"/>
      <c r="H85" s="27"/>
      <c r="I85" s="27"/>
      <c r="J85" s="27"/>
      <c r="K85" s="27"/>
      <c r="L85" s="27"/>
      <c r="M85" s="27"/>
      <c r="N85" s="27"/>
      <c r="O85" s="27"/>
      <c r="P85" s="59"/>
      <c r="Q85" s="32" t="b">
        <f t="shared" si="664"/>
        <v>0</v>
      </c>
      <c r="R85" s="9">
        <f t="shared" ref="R85" si="766">IF($Q85=TRUE,G85*$D$1,0)</f>
        <v>0</v>
      </c>
      <c r="S85" s="9">
        <f t="shared" ref="S85" si="767">IF($Q85=TRUE,H85*$D$1,0)</f>
        <v>0</v>
      </c>
      <c r="T85" s="9">
        <f t="shared" ref="T85" si="768">IF($Q85=TRUE,I85*$D$1,0)</f>
        <v>0</v>
      </c>
      <c r="U85" s="9">
        <f t="shared" ref="U85" si="769">IF($Q85=TRUE,J85*$D$1,0)</f>
        <v>0</v>
      </c>
      <c r="V85" s="9">
        <f t="shared" ref="V85" si="770">IF($Q85=TRUE,K85*$D$1,0)</f>
        <v>0</v>
      </c>
      <c r="W85" s="9">
        <f t="shared" ref="W85" si="771">IF($Q85=TRUE,L85*$D$1,0)</f>
        <v>0</v>
      </c>
      <c r="X85" s="9">
        <f t="shared" ref="X85" si="772">IF($Q85=TRUE,M85*$D$1,0)</f>
        <v>0</v>
      </c>
      <c r="Y85" s="9">
        <f t="shared" ref="Y85" si="773">IF($Q85=TRUE,N85*$D$1,0)</f>
        <v>0</v>
      </c>
      <c r="Z85" s="9">
        <f t="shared" ref="Z85" si="774">IF($Q85=TRUE,O85*$D$1,0)</f>
        <v>0</v>
      </c>
      <c r="AA85" s="9">
        <f t="shared" ref="AA85" si="775">IF($Q85=TRUE,P85*$D$1,0)</f>
        <v>0</v>
      </c>
    </row>
    <row r="86" spans="1:27" x14ac:dyDescent="0.2">
      <c r="A86" s="77"/>
      <c r="B86" s="10" t="s">
        <v>28</v>
      </c>
      <c r="C86" s="11" t="s">
        <v>101</v>
      </c>
      <c r="D86" s="12"/>
      <c r="E86" s="25"/>
      <c r="F86" s="25" t="b">
        <v>0</v>
      </c>
      <c r="G86" s="27"/>
      <c r="H86" s="27"/>
      <c r="I86" s="27"/>
      <c r="J86" s="27"/>
      <c r="K86" s="27"/>
      <c r="L86" s="27"/>
      <c r="M86" s="27"/>
      <c r="N86" s="27"/>
      <c r="O86" s="27"/>
      <c r="P86" s="59"/>
      <c r="Q86" s="33" t="b">
        <f t="shared" si="675"/>
        <v>0</v>
      </c>
      <c r="R86" s="9">
        <f t="shared" ref="R86" si="776">IF($Q86=TRUE,G86*$D$2,0)</f>
        <v>0</v>
      </c>
      <c r="S86" s="9">
        <f t="shared" ref="S86" si="777">IF($Q86=TRUE,H86*$D$2,0)</f>
        <v>0</v>
      </c>
      <c r="T86" s="9">
        <f t="shared" ref="T86" si="778">IF($Q86=TRUE,I86*$D$2,0)</f>
        <v>0</v>
      </c>
      <c r="U86" s="9">
        <f t="shared" ref="U86" si="779">IF($Q86=TRUE,J86*$D$2,0)</f>
        <v>0</v>
      </c>
      <c r="V86" s="9">
        <f t="shared" ref="V86" si="780">IF($Q86=TRUE,K86*$D$2,0)</f>
        <v>0</v>
      </c>
      <c r="W86" s="9">
        <f t="shared" ref="W86" si="781">IF($Q86=TRUE,L86*$D$2,0)</f>
        <v>0</v>
      </c>
      <c r="X86" s="9">
        <f t="shared" ref="X86" si="782">IF($Q86=TRUE,M86*$D$2,0)</f>
        <v>0</v>
      </c>
      <c r="Y86" s="9">
        <f t="shared" ref="Y86" si="783">IF($Q86=TRUE,N86*$D$2,0)</f>
        <v>0</v>
      </c>
      <c r="Z86" s="9">
        <f t="shared" ref="Z86" si="784">IF($Q86=TRUE,O86*$D$2,0)</f>
        <v>0</v>
      </c>
      <c r="AA86" s="9">
        <f t="shared" ref="AA86" si="785">IF($Q86=TRUE,P86*$D$2,0)</f>
        <v>0</v>
      </c>
    </row>
    <row r="87" spans="1:27" x14ac:dyDescent="0.2">
      <c r="A87" s="77"/>
      <c r="B87" s="6" t="s">
        <v>23</v>
      </c>
      <c r="C87" s="7" t="s">
        <v>102</v>
      </c>
      <c r="D87" s="8"/>
      <c r="E87" s="8"/>
      <c r="F87" s="8" t="b">
        <v>0</v>
      </c>
      <c r="G87" s="27"/>
      <c r="H87" s="27"/>
      <c r="I87" s="27"/>
      <c r="J87" s="27"/>
      <c r="K87" s="27"/>
      <c r="L87" s="27"/>
      <c r="M87" s="27"/>
      <c r="N87" s="27"/>
      <c r="O87" s="27"/>
      <c r="P87" s="59"/>
      <c r="Q87" s="32" t="b">
        <f t="shared" si="664"/>
        <v>0</v>
      </c>
      <c r="R87" s="9">
        <f t="shared" ref="R87" si="786">IF($Q87=TRUE,G87*$D$1,0)</f>
        <v>0</v>
      </c>
      <c r="S87" s="9">
        <f t="shared" ref="S87" si="787">IF($Q87=TRUE,H87*$D$1,0)</f>
        <v>0</v>
      </c>
      <c r="T87" s="9">
        <f t="shared" ref="T87" si="788">IF($Q87=TRUE,I87*$D$1,0)</f>
        <v>0</v>
      </c>
      <c r="U87" s="9">
        <f t="shared" ref="U87" si="789">IF($Q87=TRUE,J87*$D$1,0)</f>
        <v>0</v>
      </c>
      <c r="V87" s="9">
        <f t="shared" ref="V87" si="790">IF($Q87=TRUE,K87*$D$1,0)</f>
        <v>0</v>
      </c>
      <c r="W87" s="9">
        <f t="shared" ref="W87" si="791">IF($Q87=TRUE,L87*$D$1,0)</f>
        <v>0</v>
      </c>
      <c r="X87" s="9">
        <f t="shared" ref="X87" si="792">IF($Q87=TRUE,M87*$D$1,0)</f>
        <v>0</v>
      </c>
      <c r="Y87" s="9">
        <f t="shared" ref="Y87" si="793">IF($Q87=TRUE,N87*$D$1,0)</f>
        <v>0</v>
      </c>
      <c r="Z87" s="9">
        <f t="shared" ref="Z87" si="794">IF($Q87=TRUE,O87*$D$1,0)</f>
        <v>0</v>
      </c>
      <c r="AA87" s="9">
        <f t="shared" ref="AA87" si="795">IF($Q87=TRUE,P87*$D$1,0)</f>
        <v>0</v>
      </c>
    </row>
    <row r="88" spans="1:27" x14ac:dyDescent="0.2">
      <c r="A88" s="77"/>
      <c r="B88" s="10" t="s">
        <v>28</v>
      </c>
      <c r="C88" s="11" t="s">
        <v>102</v>
      </c>
      <c r="D88" s="12"/>
      <c r="E88" s="25"/>
      <c r="F88" s="25" t="b">
        <v>0</v>
      </c>
      <c r="G88" s="27"/>
      <c r="H88" s="27"/>
      <c r="I88" s="27"/>
      <c r="J88" s="27"/>
      <c r="K88" s="27"/>
      <c r="L88" s="27"/>
      <c r="M88" s="27"/>
      <c r="N88" s="27"/>
      <c r="O88" s="27"/>
      <c r="P88" s="59"/>
      <c r="Q88" s="33" t="b">
        <f t="shared" si="675"/>
        <v>0</v>
      </c>
      <c r="R88" s="9">
        <f t="shared" ref="R88" si="796">IF($Q88=TRUE,G88*$D$2,0)</f>
        <v>0</v>
      </c>
      <c r="S88" s="9">
        <f t="shared" ref="S88" si="797">IF($Q88=TRUE,H88*$D$2,0)</f>
        <v>0</v>
      </c>
      <c r="T88" s="9">
        <f t="shared" ref="T88" si="798">IF($Q88=TRUE,I88*$D$2,0)</f>
        <v>0</v>
      </c>
      <c r="U88" s="9">
        <f t="shared" ref="U88" si="799">IF($Q88=TRUE,J88*$D$2,0)</f>
        <v>0</v>
      </c>
      <c r="V88" s="9">
        <f t="shared" ref="V88" si="800">IF($Q88=TRUE,K88*$D$2,0)</f>
        <v>0</v>
      </c>
      <c r="W88" s="9">
        <f t="shared" ref="W88" si="801">IF($Q88=TRUE,L88*$D$2,0)</f>
        <v>0</v>
      </c>
      <c r="X88" s="9">
        <f t="shared" ref="X88" si="802">IF($Q88=TRUE,M88*$D$2,0)</f>
        <v>0</v>
      </c>
      <c r="Y88" s="9">
        <f t="shared" ref="Y88" si="803">IF($Q88=TRUE,N88*$D$2,0)</f>
        <v>0</v>
      </c>
      <c r="Z88" s="9">
        <f t="shared" ref="Z88" si="804">IF($Q88=TRUE,O88*$D$2,0)</f>
        <v>0</v>
      </c>
      <c r="AA88" s="9">
        <f t="shared" ref="AA88" si="805">IF($Q88=TRUE,P88*$D$2,0)</f>
        <v>0</v>
      </c>
    </row>
    <row r="89" spans="1:27" x14ac:dyDescent="0.2">
      <c r="A89" s="77"/>
      <c r="B89" s="6" t="s">
        <v>23</v>
      </c>
      <c r="C89" s="7" t="s">
        <v>103</v>
      </c>
      <c r="D89" s="8"/>
      <c r="E89" s="8"/>
      <c r="F89" s="8" t="b">
        <v>0</v>
      </c>
      <c r="G89" s="27"/>
      <c r="H89" s="27"/>
      <c r="I89" s="27"/>
      <c r="J89" s="27"/>
      <c r="K89" s="27"/>
      <c r="L89" s="27"/>
      <c r="M89" s="27"/>
      <c r="N89" s="27"/>
      <c r="O89" s="27"/>
      <c r="P89" s="59"/>
      <c r="Q89" s="32" t="b">
        <f t="shared" si="664"/>
        <v>0</v>
      </c>
      <c r="R89" s="9">
        <f t="shared" ref="R89" si="806">IF($Q89=TRUE,G89*$D$1,0)</f>
        <v>0</v>
      </c>
      <c r="S89" s="9">
        <f t="shared" ref="S89" si="807">IF($Q89=TRUE,H89*$D$1,0)</f>
        <v>0</v>
      </c>
      <c r="T89" s="9">
        <f t="shared" ref="T89" si="808">IF($Q89=TRUE,I89*$D$1,0)</f>
        <v>0</v>
      </c>
      <c r="U89" s="9">
        <f t="shared" ref="U89" si="809">IF($Q89=TRUE,J89*$D$1,0)</f>
        <v>0</v>
      </c>
      <c r="V89" s="9">
        <f t="shared" ref="V89" si="810">IF($Q89=TRUE,K89*$D$1,0)</f>
        <v>0</v>
      </c>
      <c r="W89" s="9">
        <f t="shared" ref="W89" si="811">IF($Q89=TRUE,L89*$D$1,0)</f>
        <v>0</v>
      </c>
      <c r="X89" s="9">
        <f t="shared" ref="X89" si="812">IF($Q89=TRUE,M89*$D$1,0)</f>
        <v>0</v>
      </c>
      <c r="Y89" s="9">
        <f t="shared" ref="Y89" si="813">IF($Q89=TRUE,N89*$D$1,0)</f>
        <v>0</v>
      </c>
      <c r="Z89" s="9">
        <f t="shared" ref="Z89" si="814">IF($Q89=TRUE,O89*$D$1,0)</f>
        <v>0</v>
      </c>
      <c r="AA89" s="9">
        <f t="shared" ref="AA89" si="815">IF($Q89=TRUE,P89*$D$1,0)</f>
        <v>0</v>
      </c>
    </row>
    <row r="90" spans="1:27" ht="13.5" thickBot="1" x14ac:dyDescent="0.25">
      <c r="A90" s="78"/>
      <c r="B90" s="40" t="s">
        <v>28</v>
      </c>
      <c r="C90" s="41" t="s">
        <v>103</v>
      </c>
      <c r="D90" s="42"/>
      <c r="E90" s="43"/>
      <c r="F90" s="43" t="b">
        <v>0</v>
      </c>
      <c r="G90" s="60"/>
      <c r="H90" s="60"/>
      <c r="I90" s="60"/>
      <c r="J90" s="60"/>
      <c r="K90" s="60"/>
      <c r="L90" s="60"/>
      <c r="M90" s="60"/>
      <c r="N90" s="60"/>
      <c r="O90" s="60"/>
      <c r="P90" s="61"/>
      <c r="Q90" s="33" t="b">
        <f t="shared" si="675"/>
        <v>0</v>
      </c>
      <c r="R90" s="9">
        <f t="shared" ref="R90" si="816">IF($Q90=TRUE,G90*$D$2,0)</f>
        <v>0</v>
      </c>
      <c r="S90" s="9">
        <f t="shared" ref="S90" si="817">IF($Q90=TRUE,H90*$D$2,0)</f>
        <v>0</v>
      </c>
      <c r="T90" s="9">
        <f t="shared" ref="T90" si="818">IF($Q90=TRUE,I90*$D$2,0)</f>
        <v>0</v>
      </c>
      <c r="U90" s="9">
        <f t="shared" ref="U90" si="819">IF($Q90=TRUE,J90*$D$2,0)</f>
        <v>0</v>
      </c>
      <c r="V90" s="9">
        <f t="shared" ref="V90" si="820">IF($Q90=TRUE,K90*$D$2,0)</f>
        <v>0</v>
      </c>
      <c r="W90" s="9">
        <f t="shared" ref="W90" si="821">IF($Q90=TRUE,L90*$D$2,0)</f>
        <v>0</v>
      </c>
      <c r="X90" s="9">
        <f t="shared" ref="X90" si="822">IF($Q90=TRUE,M90*$D$2,0)</f>
        <v>0</v>
      </c>
      <c r="Y90" s="9">
        <f t="shared" ref="Y90" si="823">IF($Q90=TRUE,N90*$D$2,0)</f>
        <v>0</v>
      </c>
      <c r="Z90" s="9">
        <f t="shared" ref="Z90" si="824">IF($Q90=TRUE,O90*$D$2,0)</f>
        <v>0</v>
      </c>
      <c r="AA90" s="9">
        <f t="shared" ref="AA90" si="825">IF($Q90=TRUE,P90*$D$2,0)</f>
        <v>0</v>
      </c>
    </row>
    <row r="91" spans="1:27" x14ac:dyDescent="0.2">
      <c r="A91" s="76" t="s">
        <v>104</v>
      </c>
      <c r="B91" s="34" t="s">
        <v>23</v>
      </c>
      <c r="C91" s="35" t="s">
        <v>105</v>
      </c>
      <c r="D91" s="36"/>
      <c r="E91" s="36"/>
      <c r="F91" s="36" t="b">
        <v>0</v>
      </c>
      <c r="G91" s="51"/>
      <c r="H91" s="51"/>
      <c r="I91" s="51"/>
      <c r="J91" s="51">
        <v>113</v>
      </c>
      <c r="K91" s="51"/>
      <c r="L91" s="51"/>
      <c r="M91" s="51"/>
      <c r="N91" s="51"/>
      <c r="O91" s="51"/>
      <c r="P91" s="52"/>
      <c r="Q91" s="32" t="b">
        <f t="shared" si="664"/>
        <v>0</v>
      </c>
      <c r="R91" s="9">
        <f t="shared" ref="R91" si="826">IF($Q91=TRUE,G91*$D$1,0)</f>
        <v>0</v>
      </c>
      <c r="S91" s="9">
        <f t="shared" ref="S91" si="827">IF($Q91=TRUE,H91*$D$1,0)</f>
        <v>0</v>
      </c>
      <c r="T91" s="9">
        <f t="shared" ref="T91" si="828">IF($Q91=TRUE,I91*$D$1,0)</f>
        <v>0</v>
      </c>
      <c r="U91" s="9">
        <f t="shared" ref="U91" si="829">IF($Q91=TRUE,J91*$D$1,0)</f>
        <v>0</v>
      </c>
      <c r="V91" s="9">
        <f t="shared" ref="V91" si="830">IF($Q91=TRUE,K91*$D$1,0)</f>
        <v>0</v>
      </c>
      <c r="W91" s="9">
        <f t="shared" ref="W91" si="831">IF($Q91=TRUE,L91*$D$1,0)</f>
        <v>0</v>
      </c>
      <c r="X91" s="9">
        <f t="shared" ref="X91" si="832">IF($Q91=TRUE,M91*$D$1,0)</f>
        <v>0</v>
      </c>
      <c r="Y91" s="9">
        <f t="shared" ref="Y91" si="833">IF($Q91=TRUE,N91*$D$1,0)</f>
        <v>0</v>
      </c>
      <c r="Z91" s="9">
        <f t="shared" ref="Z91" si="834">IF($Q91=TRUE,O91*$D$1,0)</f>
        <v>0</v>
      </c>
      <c r="AA91" s="9">
        <f t="shared" ref="AA91" si="835">IF($Q91=TRUE,P91*$D$1,0)</f>
        <v>0</v>
      </c>
    </row>
    <row r="92" spans="1:27" x14ac:dyDescent="0.2">
      <c r="A92" s="77"/>
      <c r="B92" s="10" t="s">
        <v>28</v>
      </c>
      <c r="C92" s="11" t="s">
        <v>105</v>
      </c>
      <c r="D92" s="12"/>
      <c r="E92" s="25"/>
      <c r="F92" s="25" t="b">
        <v>0</v>
      </c>
      <c r="G92" s="9"/>
      <c r="H92" s="9"/>
      <c r="I92" s="9"/>
      <c r="J92" s="9">
        <v>156</v>
      </c>
      <c r="K92" s="9"/>
      <c r="L92" s="9"/>
      <c r="M92" s="9"/>
      <c r="N92" s="9"/>
      <c r="O92" s="9"/>
      <c r="P92" s="53"/>
      <c r="Q92" s="33" t="b">
        <f t="shared" si="675"/>
        <v>0</v>
      </c>
      <c r="R92" s="9">
        <f t="shared" ref="R92" si="836">IF($Q92=TRUE,G92*$D$2,0)</f>
        <v>0</v>
      </c>
      <c r="S92" s="9">
        <f t="shared" ref="S92" si="837">IF($Q92=TRUE,H92*$D$2,0)</f>
        <v>0</v>
      </c>
      <c r="T92" s="9">
        <f t="shared" ref="T92" si="838">IF($Q92=TRUE,I92*$D$2,0)</f>
        <v>0</v>
      </c>
      <c r="U92" s="9">
        <f t="shared" ref="U92" si="839">IF($Q92=TRUE,J92*$D$2,0)</f>
        <v>0</v>
      </c>
      <c r="V92" s="9">
        <f t="shared" ref="V92" si="840">IF($Q92=TRUE,K92*$D$2,0)</f>
        <v>0</v>
      </c>
      <c r="W92" s="9">
        <f t="shared" ref="W92" si="841">IF($Q92=TRUE,L92*$D$2,0)</f>
        <v>0</v>
      </c>
      <c r="X92" s="9">
        <f t="shared" ref="X92" si="842">IF($Q92=TRUE,M92*$D$2,0)</f>
        <v>0</v>
      </c>
      <c r="Y92" s="9">
        <f t="shared" ref="Y92" si="843">IF($Q92=TRUE,N92*$D$2,0)</f>
        <v>0</v>
      </c>
      <c r="Z92" s="9">
        <f t="shared" ref="Z92" si="844">IF($Q92=TRUE,O92*$D$2,0)</f>
        <v>0</v>
      </c>
      <c r="AA92" s="9">
        <f t="shared" ref="AA92" si="845">IF($Q92=TRUE,P92*$D$2,0)</f>
        <v>0</v>
      </c>
    </row>
    <row r="93" spans="1:27" x14ac:dyDescent="0.2">
      <c r="A93" s="77"/>
      <c r="B93" s="6" t="s">
        <v>23</v>
      </c>
      <c r="C93" s="7" t="s">
        <v>106</v>
      </c>
      <c r="D93" s="8"/>
      <c r="E93" s="8"/>
      <c r="F93" s="8" t="b">
        <v>0</v>
      </c>
      <c r="G93" s="9"/>
      <c r="H93" s="9"/>
      <c r="I93" s="9"/>
      <c r="J93" s="9">
        <v>175</v>
      </c>
      <c r="K93" s="9"/>
      <c r="L93" s="9"/>
      <c r="M93" s="9"/>
      <c r="N93" s="9"/>
      <c r="O93" s="9"/>
      <c r="P93" s="53"/>
      <c r="Q93" s="32" t="b">
        <f t="shared" si="664"/>
        <v>0</v>
      </c>
      <c r="R93" s="9">
        <f t="shared" ref="R93" si="846">IF($Q93=TRUE,G93*$D$1,0)</f>
        <v>0</v>
      </c>
      <c r="S93" s="9">
        <f t="shared" ref="S93" si="847">IF($Q93=TRUE,H93*$D$1,0)</f>
        <v>0</v>
      </c>
      <c r="T93" s="9">
        <f t="shared" ref="T93" si="848">IF($Q93=TRUE,I93*$D$1,0)</f>
        <v>0</v>
      </c>
      <c r="U93" s="9">
        <f t="shared" ref="U93" si="849">IF($Q93=TRUE,J93*$D$1,0)</f>
        <v>0</v>
      </c>
      <c r="V93" s="9">
        <f t="shared" ref="V93" si="850">IF($Q93=TRUE,K93*$D$1,0)</f>
        <v>0</v>
      </c>
      <c r="W93" s="9">
        <f t="shared" ref="W93" si="851">IF($Q93=TRUE,L93*$D$1,0)</f>
        <v>0</v>
      </c>
      <c r="X93" s="9">
        <f t="shared" ref="X93" si="852">IF($Q93=TRUE,M93*$D$1,0)</f>
        <v>0</v>
      </c>
      <c r="Y93" s="9">
        <f t="shared" ref="Y93" si="853">IF($Q93=TRUE,N93*$D$1,0)</f>
        <v>0</v>
      </c>
      <c r="Z93" s="9">
        <f t="shared" ref="Z93" si="854">IF($Q93=TRUE,O93*$D$1,0)</f>
        <v>0</v>
      </c>
      <c r="AA93" s="9">
        <f t="shared" ref="AA93" si="855">IF($Q93=TRUE,P93*$D$1,0)</f>
        <v>0</v>
      </c>
    </row>
    <row r="94" spans="1:27" x14ac:dyDescent="0.2">
      <c r="A94" s="77"/>
      <c r="B94" s="10" t="s">
        <v>28</v>
      </c>
      <c r="C94" s="11" t="s">
        <v>106</v>
      </c>
      <c r="D94" s="12"/>
      <c r="E94" s="25"/>
      <c r="F94" s="25" t="b">
        <v>0</v>
      </c>
      <c r="G94" s="9"/>
      <c r="H94" s="9"/>
      <c r="I94" s="9"/>
      <c r="J94" s="9">
        <v>238</v>
      </c>
      <c r="K94" s="9"/>
      <c r="L94" s="9"/>
      <c r="M94" s="9"/>
      <c r="N94" s="9"/>
      <c r="O94" s="9"/>
      <c r="P94" s="53"/>
      <c r="Q94" s="33" t="b">
        <f t="shared" si="675"/>
        <v>0</v>
      </c>
      <c r="R94" s="9">
        <f t="shared" ref="R94" si="856">IF($Q94=TRUE,G94*$D$2,0)</f>
        <v>0</v>
      </c>
      <c r="S94" s="9">
        <f t="shared" ref="S94" si="857">IF($Q94=TRUE,H94*$D$2,0)</f>
        <v>0</v>
      </c>
      <c r="T94" s="9">
        <f t="shared" ref="T94" si="858">IF($Q94=TRUE,I94*$D$2,0)</f>
        <v>0</v>
      </c>
      <c r="U94" s="9">
        <f t="shared" ref="U94" si="859">IF($Q94=TRUE,J94*$D$2,0)</f>
        <v>0</v>
      </c>
      <c r="V94" s="9">
        <f t="shared" ref="V94" si="860">IF($Q94=TRUE,K94*$D$2,0)</f>
        <v>0</v>
      </c>
      <c r="W94" s="9">
        <f t="shared" ref="W94" si="861">IF($Q94=TRUE,L94*$D$2,0)</f>
        <v>0</v>
      </c>
      <c r="X94" s="9">
        <f t="shared" ref="X94" si="862">IF($Q94=TRUE,M94*$D$2,0)</f>
        <v>0</v>
      </c>
      <c r="Y94" s="9">
        <f t="shared" ref="Y94" si="863">IF($Q94=TRUE,N94*$D$2,0)</f>
        <v>0</v>
      </c>
      <c r="Z94" s="9">
        <f t="shared" ref="Z94" si="864">IF($Q94=TRUE,O94*$D$2,0)</f>
        <v>0</v>
      </c>
      <c r="AA94" s="9">
        <f t="shared" ref="AA94" si="865">IF($Q94=TRUE,P94*$D$2,0)</f>
        <v>0</v>
      </c>
    </row>
    <row r="95" spans="1:27" x14ac:dyDescent="0.2">
      <c r="A95" s="77"/>
      <c r="B95" s="6" t="s">
        <v>23</v>
      </c>
      <c r="C95" s="7" t="s">
        <v>107</v>
      </c>
      <c r="D95" s="8"/>
      <c r="E95" s="8"/>
      <c r="F95" s="8" t="b">
        <v>0</v>
      </c>
      <c r="G95" s="9"/>
      <c r="H95" s="9"/>
      <c r="I95" s="9"/>
      <c r="J95" s="9"/>
      <c r="K95" s="9"/>
      <c r="L95" s="9"/>
      <c r="M95" s="9"/>
      <c r="N95" s="9"/>
      <c r="O95" s="9"/>
      <c r="P95" s="53"/>
      <c r="Q95" s="32" t="b">
        <f t="shared" si="664"/>
        <v>0</v>
      </c>
      <c r="R95" s="9">
        <f t="shared" ref="R95" si="866">IF($Q95=TRUE,G95*$D$1,0)</f>
        <v>0</v>
      </c>
      <c r="S95" s="9">
        <f t="shared" ref="S95" si="867">IF($Q95=TRUE,H95*$D$1,0)</f>
        <v>0</v>
      </c>
      <c r="T95" s="9">
        <f t="shared" ref="T95" si="868">IF($Q95=TRUE,I95*$D$1,0)</f>
        <v>0</v>
      </c>
      <c r="U95" s="9">
        <f t="shared" ref="U95" si="869">IF($Q95=TRUE,J95*$D$1,0)</f>
        <v>0</v>
      </c>
      <c r="V95" s="9">
        <f t="shared" ref="V95" si="870">IF($Q95=TRUE,K95*$D$1,0)</f>
        <v>0</v>
      </c>
      <c r="W95" s="9">
        <f t="shared" ref="W95" si="871">IF($Q95=TRUE,L95*$D$1,0)</f>
        <v>0</v>
      </c>
      <c r="X95" s="9">
        <f t="shared" ref="X95" si="872">IF($Q95=TRUE,M95*$D$1,0)</f>
        <v>0</v>
      </c>
      <c r="Y95" s="9">
        <f t="shared" ref="Y95" si="873">IF($Q95=TRUE,N95*$D$1,0)</f>
        <v>0</v>
      </c>
      <c r="Z95" s="9">
        <f t="shared" ref="Z95" si="874">IF($Q95=TRUE,O95*$D$1,0)</f>
        <v>0</v>
      </c>
      <c r="AA95" s="9">
        <f t="shared" ref="AA95" si="875">IF($Q95=TRUE,P95*$D$1,0)</f>
        <v>0</v>
      </c>
    </row>
    <row r="96" spans="1:27" x14ac:dyDescent="0.2">
      <c r="A96" s="77"/>
      <c r="B96" s="10" t="s">
        <v>28</v>
      </c>
      <c r="C96" s="11" t="s">
        <v>107</v>
      </c>
      <c r="D96" s="12"/>
      <c r="E96" s="25"/>
      <c r="F96" s="25" t="b">
        <v>0</v>
      </c>
      <c r="G96" s="9"/>
      <c r="H96" s="9">
        <v>90</v>
      </c>
      <c r="I96" s="9"/>
      <c r="J96" s="9"/>
      <c r="K96" s="9"/>
      <c r="L96" s="9"/>
      <c r="M96" s="9"/>
      <c r="N96" s="9"/>
      <c r="O96" s="9"/>
      <c r="P96" s="53">
        <v>37</v>
      </c>
      <c r="Q96" s="33" t="b">
        <f t="shared" si="675"/>
        <v>0</v>
      </c>
      <c r="R96" s="9">
        <f t="shared" ref="R96" si="876">IF($Q96=TRUE,G96*$D$2,0)</f>
        <v>0</v>
      </c>
      <c r="S96" s="9">
        <f t="shared" ref="S96" si="877">IF($Q96=TRUE,H96*$D$2,0)</f>
        <v>0</v>
      </c>
      <c r="T96" s="9">
        <f t="shared" ref="T96" si="878">IF($Q96=TRUE,I96*$D$2,0)</f>
        <v>0</v>
      </c>
      <c r="U96" s="9">
        <f t="shared" ref="U96" si="879">IF($Q96=TRUE,J96*$D$2,0)</f>
        <v>0</v>
      </c>
      <c r="V96" s="9">
        <f t="shared" ref="V96" si="880">IF($Q96=TRUE,K96*$D$2,0)</f>
        <v>0</v>
      </c>
      <c r="W96" s="9">
        <f t="shared" ref="W96" si="881">IF($Q96=TRUE,L96*$D$2,0)</f>
        <v>0</v>
      </c>
      <c r="X96" s="9">
        <f t="shared" ref="X96" si="882">IF($Q96=TRUE,M96*$D$2,0)</f>
        <v>0</v>
      </c>
      <c r="Y96" s="9">
        <f t="shared" ref="Y96" si="883">IF($Q96=TRUE,N96*$D$2,0)</f>
        <v>0</v>
      </c>
      <c r="Z96" s="9">
        <f t="shared" ref="Z96" si="884">IF($Q96=TRUE,O96*$D$2,0)</f>
        <v>0</v>
      </c>
      <c r="AA96" s="9">
        <f t="shared" ref="AA96" si="885">IF($Q96=TRUE,P96*$D$2,0)</f>
        <v>0</v>
      </c>
    </row>
    <row r="97" spans="1:27" x14ac:dyDescent="0.2">
      <c r="A97" s="77"/>
      <c r="B97" s="6" t="s">
        <v>23</v>
      </c>
      <c r="C97" s="7" t="s">
        <v>108</v>
      </c>
      <c r="D97" s="8"/>
      <c r="E97" s="8"/>
      <c r="F97" s="8" t="b">
        <v>0</v>
      </c>
      <c r="G97" s="9"/>
      <c r="H97" s="9"/>
      <c r="I97" s="9"/>
      <c r="J97" s="9"/>
      <c r="K97" s="9">
        <v>48</v>
      </c>
      <c r="L97" s="9"/>
      <c r="M97" s="9">
        <v>60</v>
      </c>
      <c r="N97" s="9"/>
      <c r="O97" s="9"/>
      <c r="P97" s="53">
        <v>27</v>
      </c>
      <c r="Q97" s="32" t="b">
        <f t="shared" si="664"/>
        <v>0</v>
      </c>
      <c r="R97" s="9">
        <f t="shared" ref="R97" si="886">IF($Q97=TRUE,G97*$D$1,0)</f>
        <v>0</v>
      </c>
      <c r="S97" s="9">
        <f t="shared" ref="S97" si="887">IF($Q97=TRUE,H97*$D$1,0)</f>
        <v>0</v>
      </c>
      <c r="T97" s="9">
        <f t="shared" ref="T97" si="888">IF($Q97=TRUE,I97*$D$1,0)</f>
        <v>0</v>
      </c>
      <c r="U97" s="9">
        <f t="shared" ref="U97" si="889">IF($Q97=TRUE,J97*$D$1,0)</f>
        <v>0</v>
      </c>
      <c r="V97" s="9">
        <f t="shared" ref="V97" si="890">IF($Q97=TRUE,K97*$D$1,0)</f>
        <v>0</v>
      </c>
      <c r="W97" s="9">
        <f t="shared" ref="W97" si="891">IF($Q97=TRUE,L97*$D$1,0)</f>
        <v>0</v>
      </c>
      <c r="X97" s="9">
        <f t="shared" ref="X97" si="892">IF($Q97=TRUE,M97*$D$1,0)</f>
        <v>0</v>
      </c>
      <c r="Y97" s="9">
        <f t="shared" ref="Y97" si="893">IF($Q97=TRUE,N97*$D$1,0)</f>
        <v>0</v>
      </c>
      <c r="Z97" s="9">
        <f t="shared" ref="Z97" si="894">IF($Q97=TRUE,O97*$D$1,0)</f>
        <v>0</v>
      </c>
      <c r="AA97" s="9">
        <f t="shared" ref="AA97" si="895">IF($Q97=TRUE,P97*$D$1,0)</f>
        <v>0</v>
      </c>
    </row>
    <row r="98" spans="1:27" x14ac:dyDescent="0.2">
      <c r="A98" s="77"/>
      <c r="B98" s="10" t="s">
        <v>28</v>
      </c>
      <c r="C98" s="11" t="s">
        <v>108</v>
      </c>
      <c r="D98" s="12"/>
      <c r="E98" s="25"/>
      <c r="F98" s="25" t="b">
        <v>0</v>
      </c>
      <c r="G98" s="9"/>
      <c r="H98" s="9"/>
      <c r="I98" s="9"/>
      <c r="J98" s="9"/>
      <c r="K98" s="9">
        <v>48</v>
      </c>
      <c r="L98" s="9"/>
      <c r="M98" s="9">
        <v>130</v>
      </c>
      <c r="N98" s="9"/>
      <c r="O98" s="9"/>
      <c r="P98" s="53">
        <v>37</v>
      </c>
      <c r="Q98" s="33" t="b">
        <f t="shared" si="675"/>
        <v>0</v>
      </c>
      <c r="R98" s="9">
        <f t="shared" ref="R98" si="896">IF($Q98=TRUE,G98*$D$2,0)</f>
        <v>0</v>
      </c>
      <c r="S98" s="9">
        <f t="shared" ref="S98" si="897">IF($Q98=TRUE,H98*$D$2,0)</f>
        <v>0</v>
      </c>
      <c r="T98" s="9">
        <f t="shared" ref="T98" si="898">IF($Q98=TRUE,I98*$D$2,0)</f>
        <v>0</v>
      </c>
      <c r="U98" s="9">
        <f t="shared" ref="U98" si="899">IF($Q98=TRUE,J98*$D$2,0)</f>
        <v>0</v>
      </c>
      <c r="V98" s="9">
        <f t="shared" ref="V98" si="900">IF($Q98=TRUE,K98*$D$2,0)</f>
        <v>0</v>
      </c>
      <c r="W98" s="9">
        <f t="shared" ref="W98" si="901">IF($Q98=TRUE,L98*$D$2,0)</f>
        <v>0</v>
      </c>
      <c r="X98" s="9">
        <f t="shared" ref="X98" si="902">IF($Q98=TRUE,M98*$D$2,0)</f>
        <v>0</v>
      </c>
      <c r="Y98" s="9">
        <f t="shared" ref="Y98" si="903">IF($Q98=TRUE,N98*$D$2,0)</f>
        <v>0</v>
      </c>
      <c r="Z98" s="9">
        <f t="shared" ref="Z98" si="904">IF($Q98=TRUE,O98*$D$2,0)</f>
        <v>0</v>
      </c>
      <c r="AA98" s="9">
        <f t="shared" ref="AA98" si="905">IF($Q98=TRUE,P98*$D$2,0)</f>
        <v>0</v>
      </c>
    </row>
    <row r="99" spans="1:27" x14ac:dyDescent="0.2">
      <c r="A99" s="77"/>
      <c r="B99" s="6" t="s">
        <v>23</v>
      </c>
      <c r="C99" s="7" t="s">
        <v>109</v>
      </c>
      <c r="D99" s="8"/>
      <c r="E99" s="8"/>
      <c r="F99" s="8" t="b">
        <v>0</v>
      </c>
      <c r="G99" s="9"/>
      <c r="H99" s="9"/>
      <c r="I99" s="9"/>
      <c r="J99" s="9"/>
      <c r="K99" s="9">
        <v>84</v>
      </c>
      <c r="L99" s="9"/>
      <c r="M99" s="9"/>
      <c r="N99" s="9"/>
      <c r="O99" s="9"/>
      <c r="P99" s="53"/>
      <c r="Q99" s="32" t="b">
        <f t="shared" si="664"/>
        <v>0</v>
      </c>
      <c r="R99" s="9">
        <f t="shared" ref="R99" si="906">IF($Q99=TRUE,G99*$D$1,0)</f>
        <v>0</v>
      </c>
      <c r="S99" s="9">
        <f t="shared" ref="S99" si="907">IF($Q99=TRUE,H99*$D$1,0)</f>
        <v>0</v>
      </c>
      <c r="T99" s="9">
        <f t="shared" ref="T99" si="908">IF($Q99=TRUE,I99*$D$1,0)</f>
        <v>0</v>
      </c>
      <c r="U99" s="9">
        <f t="shared" ref="U99" si="909">IF($Q99=TRUE,J99*$D$1,0)</f>
        <v>0</v>
      </c>
      <c r="V99" s="9">
        <f t="shared" ref="V99" si="910">IF($Q99=TRUE,K99*$D$1,0)</f>
        <v>0</v>
      </c>
      <c r="W99" s="9">
        <f t="shared" ref="W99" si="911">IF($Q99=TRUE,L99*$D$1,0)</f>
        <v>0</v>
      </c>
      <c r="X99" s="9">
        <f t="shared" ref="X99" si="912">IF($Q99=TRUE,M99*$D$1,0)</f>
        <v>0</v>
      </c>
      <c r="Y99" s="9">
        <f t="shared" ref="Y99" si="913">IF($Q99=TRUE,N99*$D$1,0)</f>
        <v>0</v>
      </c>
      <c r="Z99" s="9">
        <f t="shared" ref="Z99" si="914">IF($Q99=TRUE,O99*$D$1,0)</f>
        <v>0</v>
      </c>
      <c r="AA99" s="9">
        <f t="shared" ref="AA99" si="915">IF($Q99=TRUE,P99*$D$1,0)</f>
        <v>0</v>
      </c>
    </row>
    <row r="100" spans="1:27" x14ac:dyDescent="0.2">
      <c r="A100" s="77"/>
      <c r="B100" s="10" t="s">
        <v>28</v>
      </c>
      <c r="C100" s="11" t="s">
        <v>109</v>
      </c>
      <c r="D100" s="12"/>
      <c r="E100" s="25"/>
      <c r="F100" s="25" t="b">
        <v>0</v>
      </c>
      <c r="G100" s="9"/>
      <c r="H100" s="9"/>
      <c r="I100" s="9"/>
      <c r="J100" s="9"/>
      <c r="K100" s="9">
        <v>84</v>
      </c>
      <c r="L100" s="9"/>
      <c r="M100" s="9"/>
      <c r="N100" s="9"/>
      <c r="O100" s="9"/>
      <c r="P100" s="53"/>
      <c r="Q100" s="33" t="b">
        <f t="shared" si="675"/>
        <v>0</v>
      </c>
      <c r="R100" s="9">
        <f t="shared" ref="R100" si="916">IF($Q100=TRUE,G100*$D$2,0)</f>
        <v>0</v>
      </c>
      <c r="S100" s="9">
        <f t="shared" ref="S100" si="917">IF($Q100=TRUE,H100*$D$2,0)</f>
        <v>0</v>
      </c>
      <c r="T100" s="9">
        <f t="shared" ref="T100" si="918">IF($Q100=TRUE,I100*$D$2,0)</f>
        <v>0</v>
      </c>
      <c r="U100" s="9">
        <f t="shared" ref="U100" si="919">IF($Q100=TRUE,J100*$D$2,0)</f>
        <v>0</v>
      </c>
      <c r="V100" s="9">
        <f t="shared" ref="V100" si="920">IF($Q100=TRUE,K100*$D$2,0)</f>
        <v>0</v>
      </c>
      <c r="W100" s="9">
        <f t="shared" ref="W100" si="921">IF($Q100=TRUE,L100*$D$2,0)</f>
        <v>0</v>
      </c>
      <c r="X100" s="9">
        <f t="shared" ref="X100" si="922">IF($Q100=TRUE,M100*$D$2,0)</f>
        <v>0</v>
      </c>
      <c r="Y100" s="9">
        <f t="shared" ref="Y100" si="923">IF($Q100=TRUE,N100*$D$2,0)</f>
        <v>0</v>
      </c>
      <c r="Z100" s="9">
        <f t="shared" ref="Z100" si="924">IF($Q100=TRUE,O100*$D$2,0)</f>
        <v>0</v>
      </c>
      <c r="AA100" s="9">
        <f t="shared" ref="AA100" si="925">IF($Q100=TRUE,P100*$D$2,0)</f>
        <v>0</v>
      </c>
    </row>
    <row r="101" spans="1:27" x14ac:dyDescent="0.2">
      <c r="A101" s="77"/>
      <c r="B101" s="6" t="s">
        <v>23</v>
      </c>
      <c r="C101" s="7" t="s">
        <v>110</v>
      </c>
      <c r="D101" s="8"/>
      <c r="E101" s="8"/>
      <c r="F101" s="8" t="b">
        <v>0</v>
      </c>
      <c r="G101" s="9"/>
      <c r="H101" s="9"/>
      <c r="I101" s="9"/>
      <c r="J101" s="9"/>
      <c r="K101" s="9">
        <v>24</v>
      </c>
      <c r="L101" s="9"/>
      <c r="M101" s="9"/>
      <c r="N101" s="9"/>
      <c r="O101" s="9"/>
      <c r="P101" s="53"/>
      <c r="Q101" s="32" t="b">
        <f t="shared" si="664"/>
        <v>0</v>
      </c>
      <c r="R101" s="9">
        <f t="shared" ref="R101" si="926">IF($Q101=TRUE,G101*$D$1,0)</f>
        <v>0</v>
      </c>
      <c r="S101" s="9">
        <f t="shared" ref="S101" si="927">IF($Q101=TRUE,H101*$D$1,0)</f>
        <v>0</v>
      </c>
      <c r="T101" s="9">
        <f t="shared" ref="T101" si="928">IF($Q101=TRUE,I101*$D$1,0)</f>
        <v>0</v>
      </c>
      <c r="U101" s="9">
        <f t="shared" ref="U101" si="929">IF($Q101=TRUE,J101*$D$1,0)</f>
        <v>0</v>
      </c>
      <c r="V101" s="9">
        <f t="shared" ref="V101" si="930">IF($Q101=TRUE,K101*$D$1,0)</f>
        <v>0</v>
      </c>
      <c r="W101" s="9">
        <f t="shared" ref="W101" si="931">IF($Q101=TRUE,L101*$D$1,0)</f>
        <v>0</v>
      </c>
      <c r="X101" s="9">
        <f t="shared" ref="X101" si="932">IF($Q101=TRUE,M101*$D$1,0)</f>
        <v>0</v>
      </c>
      <c r="Y101" s="9">
        <f t="shared" ref="Y101" si="933">IF($Q101=TRUE,N101*$D$1,0)</f>
        <v>0</v>
      </c>
      <c r="Z101" s="9">
        <f t="shared" ref="Z101" si="934">IF($Q101=TRUE,O101*$D$1,0)</f>
        <v>0</v>
      </c>
      <c r="AA101" s="9">
        <f t="shared" ref="AA101" si="935">IF($Q101=TRUE,P101*$D$1,0)</f>
        <v>0</v>
      </c>
    </row>
    <row r="102" spans="1:27" x14ac:dyDescent="0.2">
      <c r="A102" s="77"/>
      <c r="B102" s="10" t="s">
        <v>28</v>
      </c>
      <c r="C102" s="11" t="s">
        <v>110</v>
      </c>
      <c r="D102" s="12"/>
      <c r="E102" s="25"/>
      <c r="F102" s="25" t="b">
        <v>0</v>
      </c>
      <c r="G102" s="9"/>
      <c r="H102" s="9"/>
      <c r="I102" s="9"/>
      <c r="J102" s="9"/>
      <c r="K102" s="9">
        <v>24</v>
      </c>
      <c r="L102" s="9"/>
      <c r="M102" s="9"/>
      <c r="N102" s="9"/>
      <c r="O102" s="9"/>
      <c r="P102" s="53"/>
      <c r="Q102" s="33" t="b">
        <f t="shared" si="675"/>
        <v>0</v>
      </c>
      <c r="R102" s="9">
        <f t="shared" ref="R102" si="936">IF($Q102=TRUE,G102*$D$2,0)</f>
        <v>0</v>
      </c>
      <c r="S102" s="9">
        <f t="shared" ref="S102" si="937">IF($Q102=TRUE,H102*$D$2,0)</f>
        <v>0</v>
      </c>
      <c r="T102" s="9">
        <f t="shared" ref="T102" si="938">IF($Q102=TRUE,I102*$D$2,0)</f>
        <v>0</v>
      </c>
      <c r="U102" s="9">
        <f t="shared" ref="U102" si="939">IF($Q102=TRUE,J102*$D$2,0)</f>
        <v>0</v>
      </c>
      <c r="V102" s="9">
        <f t="shared" ref="V102" si="940">IF($Q102=TRUE,K102*$D$2,0)</f>
        <v>0</v>
      </c>
      <c r="W102" s="9">
        <f t="shared" ref="W102" si="941">IF($Q102=TRUE,L102*$D$2,0)</f>
        <v>0</v>
      </c>
      <c r="X102" s="9">
        <f t="shared" ref="X102" si="942">IF($Q102=TRUE,M102*$D$2,0)</f>
        <v>0</v>
      </c>
      <c r="Y102" s="9">
        <f t="shared" ref="Y102" si="943">IF($Q102=TRUE,N102*$D$2,0)</f>
        <v>0</v>
      </c>
      <c r="Z102" s="9">
        <f t="shared" ref="Z102" si="944">IF($Q102=TRUE,O102*$D$2,0)</f>
        <v>0</v>
      </c>
      <c r="AA102" s="9">
        <f t="shared" ref="AA102" si="945">IF($Q102=TRUE,P102*$D$2,0)</f>
        <v>0</v>
      </c>
    </row>
    <row r="103" spans="1:27" x14ac:dyDescent="0.2">
      <c r="A103" s="77"/>
      <c r="B103" s="6" t="s">
        <v>23</v>
      </c>
      <c r="C103" s="7" t="s">
        <v>111</v>
      </c>
      <c r="D103" s="8"/>
      <c r="E103" s="8"/>
      <c r="F103" s="8" t="b">
        <v>0</v>
      </c>
      <c r="G103" s="9"/>
      <c r="H103" s="9"/>
      <c r="I103" s="9"/>
      <c r="J103" s="9"/>
      <c r="K103" s="9">
        <v>60</v>
      </c>
      <c r="L103" s="9"/>
      <c r="M103" s="9"/>
      <c r="N103" s="9"/>
      <c r="O103" s="9"/>
      <c r="P103" s="53"/>
      <c r="Q103" s="32" t="b">
        <f t="shared" si="664"/>
        <v>0</v>
      </c>
      <c r="R103" s="9">
        <f t="shared" ref="R103" si="946">IF($Q103=TRUE,G103*$D$1,0)</f>
        <v>0</v>
      </c>
      <c r="S103" s="9">
        <f t="shared" ref="S103" si="947">IF($Q103=TRUE,H103*$D$1,0)</f>
        <v>0</v>
      </c>
      <c r="T103" s="9">
        <f t="shared" ref="T103" si="948">IF($Q103=TRUE,I103*$D$1,0)</f>
        <v>0</v>
      </c>
      <c r="U103" s="9">
        <f t="shared" ref="U103" si="949">IF($Q103=TRUE,J103*$D$1,0)</f>
        <v>0</v>
      </c>
      <c r="V103" s="9">
        <f t="shared" ref="V103" si="950">IF($Q103=TRUE,K103*$D$1,0)</f>
        <v>0</v>
      </c>
      <c r="W103" s="9">
        <f t="shared" ref="W103" si="951">IF($Q103=TRUE,L103*$D$1,0)</f>
        <v>0</v>
      </c>
      <c r="X103" s="9">
        <f t="shared" ref="X103" si="952">IF($Q103=TRUE,M103*$D$1,0)</f>
        <v>0</v>
      </c>
      <c r="Y103" s="9">
        <f t="shared" ref="Y103" si="953">IF($Q103=TRUE,N103*$D$1,0)</f>
        <v>0</v>
      </c>
      <c r="Z103" s="9">
        <f t="shared" ref="Z103" si="954">IF($Q103=TRUE,O103*$D$1,0)</f>
        <v>0</v>
      </c>
      <c r="AA103" s="9">
        <f t="shared" ref="AA103" si="955">IF($Q103=TRUE,P103*$D$1,0)</f>
        <v>0</v>
      </c>
    </row>
    <row r="104" spans="1:27" x14ac:dyDescent="0.2">
      <c r="A104" s="77"/>
      <c r="B104" s="10" t="s">
        <v>28</v>
      </c>
      <c r="C104" s="11" t="s">
        <v>111</v>
      </c>
      <c r="D104" s="12"/>
      <c r="E104" s="25"/>
      <c r="F104" s="25" t="b">
        <v>0</v>
      </c>
      <c r="G104" s="9"/>
      <c r="H104" s="9"/>
      <c r="I104" s="9"/>
      <c r="J104" s="9"/>
      <c r="K104" s="9">
        <v>60</v>
      </c>
      <c r="L104" s="9"/>
      <c r="M104" s="9"/>
      <c r="N104" s="9"/>
      <c r="O104" s="9"/>
      <c r="P104" s="53"/>
      <c r="Q104" s="33" t="b">
        <f t="shared" si="675"/>
        <v>0</v>
      </c>
      <c r="R104" s="9">
        <f t="shared" ref="R104" si="956">IF($Q104=TRUE,G104*$D$2,0)</f>
        <v>0</v>
      </c>
      <c r="S104" s="9">
        <f t="shared" ref="S104" si="957">IF($Q104=TRUE,H104*$D$2,0)</f>
        <v>0</v>
      </c>
      <c r="T104" s="9">
        <f t="shared" ref="T104" si="958">IF($Q104=TRUE,I104*$D$2,0)</f>
        <v>0</v>
      </c>
      <c r="U104" s="9">
        <f t="shared" ref="U104" si="959">IF($Q104=TRUE,J104*$D$2,0)</f>
        <v>0</v>
      </c>
      <c r="V104" s="9">
        <f t="shared" ref="V104" si="960">IF($Q104=TRUE,K104*$D$2,0)</f>
        <v>0</v>
      </c>
      <c r="W104" s="9">
        <f t="shared" ref="W104" si="961">IF($Q104=TRUE,L104*$D$2,0)</f>
        <v>0</v>
      </c>
      <c r="X104" s="9">
        <f t="shared" ref="X104" si="962">IF($Q104=TRUE,M104*$D$2,0)</f>
        <v>0</v>
      </c>
      <c r="Y104" s="9">
        <f t="shared" ref="Y104" si="963">IF($Q104=TRUE,N104*$D$2,0)</f>
        <v>0</v>
      </c>
      <c r="Z104" s="9">
        <f t="shared" ref="Z104" si="964">IF($Q104=TRUE,O104*$D$2,0)</f>
        <v>0</v>
      </c>
      <c r="AA104" s="9">
        <f t="shared" ref="AA104" si="965">IF($Q104=TRUE,P104*$D$2,0)</f>
        <v>0</v>
      </c>
    </row>
    <row r="105" spans="1:27" x14ac:dyDescent="0.2">
      <c r="A105" s="77"/>
      <c r="B105" s="6" t="s">
        <v>23</v>
      </c>
      <c r="C105" s="7" t="s">
        <v>112</v>
      </c>
      <c r="D105" s="8"/>
      <c r="E105" s="8"/>
      <c r="F105" s="8" t="b">
        <v>0</v>
      </c>
      <c r="G105" s="9"/>
      <c r="H105" s="9"/>
      <c r="I105" s="9"/>
      <c r="J105" s="9"/>
      <c r="K105" s="9">
        <v>60</v>
      </c>
      <c r="L105" s="9"/>
      <c r="M105" s="9"/>
      <c r="N105" s="9"/>
      <c r="O105" s="9"/>
      <c r="P105" s="53"/>
      <c r="Q105" s="32" t="b">
        <f t="shared" si="664"/>
        <v>0</v>
      </c>
      <c r="R105" s="9">
        <f t="shared" ref="R105" si="966">IF($Q105=TRUE,G105*$D$1,0)</f>
        <v>0</v>
      </c>
      <c r="S105" s="9">
        <f t="shared" ref="S105" si="967">IF($Q105=TRUE,H105*$D$1,0)</f>
        <v>0</v>
      </c>
      <c r="T105" s="9">
        <f t="shared" ref="T105" si="968">IF($Q105=TRUE,I105*$D$1,0)</f>
        <v>0</v>
      </c>
      <c r="U105" s="9">
        <f t="shared" ref="U105" si="969">IF($Q105=TRUE,J105*$D$1,0)</f>
        <v>0</v>
      </c>
      <c r="V105" s="9">
        <f t="shared" ref="V105" si="970">IF($Q105=TRUE,K105*$D$1,0)</f>
        <v>0</v>
      </c>
      <c r="W105" s="9">
        <f t="shared" ref="W105" si="971">IF($Q105=TRUE,L105*$D$1,0)</f>
        <v>0</v>
      </c>
      <c r="X105" s="9">
        <f t="shared" ref="X105" si="972">IF($Q105=TRUE,M105*$D$1,0)</f>
        <v>0</v>
      </c>
      <c r="Y105" s="9">
        <f t="shared" ref="Y105" si="973">IF($Q105=TRUE,N105*$D$1,0)</f>
        <v>0</v>
      </c>
      <c r="Z105" s="9">
        <f t="shared" ref="Z105" si="974">IF($Q105=TRUE,O105*$D$1,0)</f>
        <v>0</v>
      </c>
      <c r="AA105" s="9">
        <f t="shared" ref="AA105" si="975">IF($Q105=TRUE,P105*$D$1,0)</f>
        <v>0</v>
      </c>
    </row>
    <row r="106" spans="1:27" x14ac:dyDescent="0.2">
      <c r="A106" s="77"/>
      <c r="B106" s="10" t="s">
        <v>28</v>
      </c>
      <c r="C106" s="11" t="s">
        <v>112</v>
      </c>
      <c r="D106" s="12"/>
      <c r="E106" s="25"/>
      <c r="F106" s="25" t="b">
        <v>0</v>
      </c>
      <c r="G106" s="9"/>
      <c r="H106" s="9"/>
      <c r="I106" s="9"/>
      <c r="J106" s="9"/>
      <c r="K106" s="9">
        <v>60</v>
      </c>
      <c r="L106" s="9"/>
      <c r="M106" s="9"/>
      <c r="N106" s="9"/>
      <c r="O106" s="9"/>
      <c r="P106" s="53"/>
      <c r="Q106" s="33" t="b">
        <f t="shared" si="675"/>
        <v>0</v>
      </c>
      <c r="R106" s="9">
        <f t="shared" ref="R106" si="976">IF($Q106=TRUE,G106*$D$2,0)</f>
        <v>0</v>
      </c>
      <c r="S106" s="9">
        <f t="shared" ref="S106" si="977">IF($Q106=TRUE,H106*$D$2,0)</f>
        <v>0</v>
      </c>
      <c r="T106" s="9">
        <f t="shared" ref="T106" si="978">IF($Q106=TRUE,I106*$D$2,0)</f>
        <v>0</v>
      </c>
      <c r="U106" s="9">
        <f t="shared" ref="U106" si="979">IF($Q106=TRUE,J106*$D$2,0)</f>
        <v>0</v>
      </c>
      <c r="V106" s="9">
        <f t="shared" ref="V106" si="980">IF($Q106=TRUE,K106*$D$2,0)</f>
        <v>0</v>
      </c>
      <c r="W106" s="9">
        <f t="shared" ref="W106" si="981">IF($Q106=TRUE,L106*$D$2,0)</f>
        <v>0</v>
      </c>
      <c r="X106" s="9">
        <f t="shared" ref="X106" si="982">IF($Q106=TRUE,M106*$D$2,0)</f>
        <v>0</v>
      </c>
      <c r="Y106" s="9">
        <f t="shared" ref="Y106" si="983">IF($Q106=TRUE,N106*$D$2,0)</f>
        <v>0</v>
      </c>
      <c r="Z106" s="9">
        <f t="shared" ref="Z106" si="984">IF($Q106=TRUE,O106*$D$2,0)</f>
        <v>0</v>
      </c>
      <c r="AA106" s="9">
        <f t="shared" ref="AA106" si="985">IF($Q106=TRUE,P106*$D$2,0)</f>
        <v>0</v>
      </c>
    </row>
    <row r="107" spans="1:27" x14ac:dyDescent="0.2">
      <c r="A107" s="77"/>
      <c r="B107" s="6" t="s">
        <v>23</v>
      </c>
      <c r="C107" s="7" t="s">
        <v>113</v>
      </c>
      <c r="D107" s="8"/>
      <c r="E107" s="8"/>
      <c r="F107" s="8" t="b">
        <v>0</v>
      </c>
      <c r="G107" s="9"/>
      <c r="H107" s="9"/>
      <c r="I107" s="9"/>
      <c r="J107" s="9"/>
      <c r="K107" s="9"/>
      <c r="L107" s="9">
        <v>10</v>
      </c>
      <c r="M107" s="9"/>
      <c r="N107" s="9"/>
      <c r="O107" s="9"/>
      <c r="P107" s="53"/>
      <c r="Q107" s="32" t="b">
        <f t="shared" si="664"/>
        <v>0</v>
      </c>
      <c r="R107" s="9">
        <f t="shared" ref="R107" si="986">IF($Q107=TRUE,G107*$D$1,0)</f>
        <v>0</v>
      </c>
      <c r="S107" s="9">
        <f t="shared" ref="S107" si="987">IF($Q107=TRUE,H107*$D$1,0)</f>
        <v>0</v>
      </c>
      <c r="T107" s="9">
        <f t="shared" ref="T107" si="988">IF($Q107=TRUE,I107*$D$1,0)</f>
        <v>0</v>
      </c>
      <c r="U107" s="9">
        <f t="shared" ref="U107" si="989">IF($Q107=TRUE,J107*$D$1,0)</f>
        <v>0</v>
      </c>
      <c r="V107" s="9">
        <f t="shared" ref="V107" si="990">IF($Q107=TRUE,K107*$D$1,0)</f>
        <v>0</v>
      </c>
      <c r="W107" s="9">
        <f t="shared" ref="W107" si="991">IF($Q107=TRUE,L107*$D$1,0)</f>
        <v>0</v>
      </c>
      <c r="X107" s="9">
        <f t="shared" ref="X107" si="992">IF($Q107=TRUE,M107*$D$1,0)</f>
        <v>0</v>
      </c>
      <c r="Y107" s="9">
        <f t="shared" ref="Y107" si="993">IF($Q107=TRUE,N107*$D$1,0)</f>
        <v>0</v>
      </c>
      <c r="Z107" s="9">
        <f t="shared" ref="Z107" si="994">IF($Q107=TRUE,O107*$D$1,0)</f>
        <v>0</v>
      </c>
      <c r="AA107" s="9">
        <f t="shared" ref="AA107" si="995">IF($Q107=TRUE,P107*$D$1,0)</f>
        <v>0</v>
      </c>
    </row>
    <row r="108" spans="1:27" x14ac:dyDescent="0.2">
      <c r="A108" s="77"/>
      <c r="B108" s="10" t="s">
        <v>28</v>
      </c>
      <c r="C108" s="11" t="s">
        <v>113</v>
      </c>
      <c r="D108" s="12"/>
      <c r="E108" s="25"/>
      <c r="F108" s="25" t="b">
        <v>0</v>
      </c>
      <c r="G108" s="9"/>
      <c r="H108" s="9"/>
      <c r="I108" s="9"/>
      <c r="J108" s="9"/>
      <c r="K108" s="9"/>
      <c r="L108" s="9">
        <v>20</v>
      </c>
      <c r="M108" s="9"/>
      <c r="N108" s="9"/>
      <c r="O108" s="9"/>
      <c r="P108" s="53"/>
      <c r="Q108" s="33" t="b">
        <f t="shared" si="675"/>
        <v>0</v>
      </c>
      <c r="R108" s="9">
        <f t="shared" ref="R108" si="996">IF($Q108=TRUE,G108*$D$2,0)</f>
        <v>0</v>
      </c>
      <c r="S108" s="9">
        <f t="shared" ref="S108" si="997">IF($Q108=TRUE,H108*$D$2,0)</f>
        <v>0</v>
      </c>
      <c r="T108" s="9">
        <f t="shared" ref="T108" si="998">IF($Q108=TRUE,I108*$D$2,0)</f>
        <v>0</v>
      </c>
      <c r="U108" s="9">
        <f t="shared" ref="U108" si="999">IF($Q108=TRUE,J108*$D$2,0)</f>
        <v>0</v>
      </c>
      <c r="V108" s="9">
        <f t="shared" ref="V108" si="1000">IF($Q108=TRUE,K108*$D$2,0)</f>
        <v>0</v>
      </c>
      <c r="W108" s="9">
        <f t="shared" ref="W108" si="1001">IF($Q108=TRUE,L108*$D$2,0)</f>
        <v>0</v>
      </c>
      <c r="X108" s="9">
        <f t="shared" ref="X108" si="1002">IF($Q108=TRUE,M108*$D$2,0)</f>
        <v>0</v>
      </c>
      <c r="Y108" s="9">
        <f t="shared" ref="Y108" si="1003">IF($Q108=TRUE,N108*$D$2,0)</f>
        <v>0</v>
      </c>
      <c r="Z108" s="9">
        <f t="shared" ref="Z108" si="1004">IF($Q108=TRUE,O108*$D$2,0)</f>
        <v>0</v>
      </c>
      <c r="AA108" s="9">
        <f t="shared" ref="AA108" si="1005">IF($Q108=TRUE,P108*$D$2,0)</f>
        <v>0</v>
      </c>
    </row>
    <row r="109" spans="1:27" x14ac:dyDescent="0.2">
      <c r="A109" s="77"/>
      <c r="B109" s="6" t="s">
        <v>23</v>
      </c>
      <c r="C109" s="7" t="s">
        <v>114</v>
      </c>
      <c r="D109" s="8"/>
      <c r="E109" s="8"/>
      <c r="F109" s="8" t="b">
        <v>0</v>
      </c>
      <c r="G109" s="9">
        <v>50</v>
      </c>
      <c r="H109" s="9"/>
      <c r="I109" s="9"/>
      <c r="J109" s="9"/>
      <c r="K109" s="9"/>
      <c r="L109" s="9"/>
      <c r="M109" s="9"/>
      <c r="N109" s="9"/>
      <c r="O109" s="9"/>
      <c r="P109" s="53"/>
      <c r="Q109" s="32" t="b">
        <f t="shared" si="664"/>
        <v>0</v>
      </c>
      <c r="R109" s="9">
        <f t="shared" ref="R109" si="1006">IF($Q109=TRUE,G109*$D$1,0)</f>
        <v>0</v>
      </c>
      <c r="S109" s="9">
        <f t="shared" ref="S109" si="1007">IF($Q109=TRUE,H109*$D$1,0)</f>
        <v>0</v>
      </c>
      <c r="T109" s="9">
        <f t="shared" ref="T109" si="1008">IF($Q109=TRUE,I109*$D$1,0)</f>
        <v>0</v>
      </c>
      <c r="U109" s="9">
        <f t="shared" ref="U109" si="1009">IF($Q109=TRUE,J109*$D$1,0)</f>
        <v>0</v>
      </c>
      <c r="V109" s="9">
        <f t="shared" ref="V109" si="1010">IF($Q109=TRUE,K109*$D$1,0)</f>
        <v>0</v>
      </c>
      <c r="W109" s="9">
        <f t="shared" ref="W109" si="1011">IF($Q109=TRUE,L109*$D$1,0)</f>
        <v>0</v>
      </c>
      <c r="X109" s="9">
        <f t="shared" ref="X109" si="1012">IF($Q109=TRUE,M109*$D$1,0)</f>
        <v>0</v>
      </c>
      <c r="Y109" s="9">
        <f t="shared" ref="Y109" si="1013">IF($Q109=TRUE,N109*$D$1,0)</f>
        <v>0</v>
      </c>
      <c r="Z109" s="9">
        <f t="shared" ref="Z109" si="1014">IF($Q109=TRUE,O109*$D$1,0)</f>
        <v>0</v>
      </c>
      <c r="AA109" s="9">
        <f t="shared" ref="AA109" si="1015">IF($Q109=TRUE,P109*$D$1,0)</f>
        <v>0</v>
      </c>
    </row>
    <row r="110" spans="1:27" x14ac:dyDescent="0.2">
      <c r="A110" s="77"/>
      <c r="B110" s="10" t="s">
        <v>28</v>
      </c>
      <c r="C110" s="11" t="s">
        <v>114</v>
      </c>
      <c r="D110" s="12"/>
      <c r="E110" s="25"/>
      <c r="F110" s="25" t="b">
        <v>0</v>
      </c>
      <c r="G110" s="9">
        <v>75</v>
      </c>
      <c r="H110" s="9"/>
      <c r="I110" s="9"/>
      <c r="J110" s="9"/>
      <c r="K110" s="9"/>
      <c r="L110" s="9">
        <v>20</v>
      </c>
      <c r="M110" s="9"/>
      <c r="N110" s="9"/>
      <c r="O110" s="9"/>
      <c r="P110" s="53"/>
      <c r="Q110" s="33" t="b">
        <f t="shared" si="675"/>
        <v>0</v>
      </c>
      <c r="R110" s="9">
        <f t="shared" ref="R110" si="1016">IF($Q110=TRUE,G110*$D$2,0)</f>
        <v>0</v>
      </c>
      <c r="S110" s="9">
        <f t="shared" ref="S110" si="1017">IF($Q110=TRUE,H110*$D$2,0)</f>
        <v>0</v>
      </c>
      <c r="T110" s="9">
        <f t="shared" ref="T110" si="1018">IF($Q110=TRUE,I110*$D$2,0)</f>
        <v>0</v>
      </c>
      <c r="U110" s="9">
        <f t="shared" ref="U110" si="1019">IF($Q110=TRUE,J110*$D$2,0)</f>
        <v>0</v>
      </c>
      <c r="V110" s="9">
        <f t="shared" ref="V110" si="1020">IF($Q110=TRUE,K110*$D$2,0)</f>
        <v>0</v>
      </c>
      <c r="W110" s="9">
        <f t="shared" ref="W110" si="1021">IF($Q110=TRUE,L110*$D$2,0)</f>
        <v>0</v>
      </c>
      <c r="X110" s="9">
        <f t="shared" ref="X110" si="1022">IF($Q110=TRUE,M110*$D$2,0)</f>
        <v>0</v>
      </c>
      <c r="Y110" s="9">
        <f t="shared" ref="Y110" si="1023">IF($Q110=TRUE,N110*$D$2,0)</f>
        <v>0</v>
      </c>
      <c r="Z110" s="9">
        <f t="shared" ref="Z110" si="1024">IF($Q110=TRUE,O110*$D$2,0)</f>
        <v>0</v>
      </c>
      <c r="AA110" s="9">
        <f t="shared" ref="AA110" si="1025">IF($Q110=TRUE,P110*$D$2,0)</f>
        <v>0</v>
      </c>
    </row>
    <row r="111" spans="1:27" x14ac:dyDescent="0.2">
      <c r="A111" s="77"/>
      <c r="B111" s="6" t="s">
        <v>23</v>
      </c>
      <c r="C111" s="7" t="s">
        <v>115</v>
      </c>
      <c r="D111" s="8"/>
      <c r="E111" s="8"/>
      <c r="F111" s="8" t="b">
        <v>0</v>
      </c>
      <c r="G111" s="9"/>
      <c r="H111" s="9"/>
      <c r="I111" s="9"/>
      <c r="J111" s="9"/>
      <c r="K111" s="9"/>
      <c r="L111" s="9"/>
      <c r="M111" s="9"/>
      <c r="N111" s="9"/>
      <c r="O111" s="9"/>
      <c r="P111" s="53"/>
      <c r="Q111" s="32" t="b">
        <f t="shared" si="664"/>
        <v>0</v>
      </c>
      <c r="R111" s="9">
        <f t="shared" ref="R111" si="1026">IF($Q111=TRUE,G111*$D$1,0)</f>
        <v>0</v>
      </c>
      <c r="S111" s="9">
        <f t="shared" ref="S111" si="1027">IF($Q111=TRUE,H111*$D$1,0)</f>
        <v>0</v>
      </c>
      <c r="T111" s="9">
        <f t="shared" ref="T111" si="1028">IF($Q111=TRUE,I111*$D$1,0)</f>
        <v>0</v>
      </c>
      <c r="U111" s="9">
        <f t="shared" ref="U111" si="1029">IF($Q111=TRUE,J111*$D$1,0)</f>
        <v>0</v>
      </c>
      <c r="V111" s="9">
        <f t="shared" ref="V111" si="1030">IF($Q111=TRUE,K111*$D$1,0)</f>
        <v>0</v>
      </c>
      <c r="W111" s="9">
        <f t="shared" ref="W111" si="1031">IF($Q111=TRUE,L111*$D$1,0)</f>
        <v>0</v>
      </c>
      <c r="X111" s="9">
        <f t="shared" ref="X111" si="1032">IF($Q111=TRUE,M111*$D$1,0)</f>
        <v>0</v>
      </c>
      <c r="Y111" s="9">
        <f t="shared" ref="Y111" si="1033">IF($Q111=TRUE,N111*$D$1,0)</f>
        <v>0</v>
      </c>
      <c r="Z111" s="9">
        <f t="shared" ref="Z111" si="1034">IF($Q111=TRUE,O111*$D$1,0)</f>
        <v>0</v>
      </c>
      <c r="AA111" s="9">
        <f t="shared" ref="AA111" si="1035">IF($Q111=TRUE,P111*$D$1,0)</f>
        <v>0</v>
      </c>
    </row>
    <row r="112" spans="1:27" x14ac:dyDescent="0.2">
      <c r="A112" s="77"/>
      <c r="B112" s="10" t="s">
        <v>28</v>
      </c>
      <c r="C112" s="11" t="s">
        <v>115</v>
      </c>
      <c r="D112" s="12"/>
      <c r="E112" s="25"/>
      <c r="F112" s="25" t="b">
        <v>0</v>
      </c>
      <c r="G112" s="9"/>
      <c r="H112" s="9"/>
      <c r="I112" s="9"/>
      <c r="J112" s="9"/>
      <c r="K112" s="9"/>
      <c r="L112" s="9"/>
      <c r="M112" s="9"/>
      <c r="N112" s="9"/>
      <c r="O112" s="9"/>
      <c r="P112" s="53">
        <v>37</v>
      </c>
      <c r="Q112" s="33" t="b">
        <f t="shared" si="675"/>
        <v>0</v>
      </c>
      <c r="R112" s="9">
        <f t="shared" ref="R112" si="1036">IF($Q112=TRUE,G112*$D$2,0)</f>
        <v>0</v>
      </c>
      <c r="S112" s="9">
        <f t="shared" ref="S112" si="1037">IF($Q112=TRUE,H112*$D$2,0)</f>
        <v>0</v>
      </c>
      <c r="T112" s="9">
        <f t="shared" ref="T112" si="1038">IF($Q112=TRUE,I112*$D$2,0)</f>
        <v>0</v>
      </c>
      <c r="U112" s="9">
        <f t="shared" ref="U112" si="1039">IF($Q112=TRUE,J112*$D$2,0)</f>
        <v>0</v>
      </c>
      <c r="V112" s="9">
        <f t="shared" ref="V112" si="1040">IF($Q112=TRUE,K112*$D$2,0)</f>
        <v>0</v>
      </c>
      <c r="W112" s="9">
        <f t="shared" ref="W112" si="1041">IF($Q112=TRUE,L112*$D$2,0)</f>
        <v>0</v>
      </c>
      <c r="X112" s="9">
        <f t="shared" ref="X112" si="1042">IF($Q112=TRUE,M112*$D$2,0)</f>
        <v>0</v>
      </c>
      <c r="Y112" s="9">
        <f t="shared" ref="Y112" si="1043">IF($Q112=TRUE,N112*$D$2,0)</f>
        <v>0</v>
      </c>
      <c r="Z112" s="9">
        <f t="shared" ref="Z112" si="1044">IF($Q112=TRUE,O112*$D$2,0)</f>
        <v>0</v>
      </c>
      <c r="AA112" s="9">
        <f t="shared" ref="AA112" si="1045">IF($Q112=TRUE,P112*$D$2,0)</f>
        <v>0</v>
      </c>
    </row>
    <row r="113" spans="1:27" x14ac:dyDescent="0.2">
      <c r="A113" s="77"/>
      <c r="B113" s="6" t="s">
        <v>23</v>
      </c>
      <c r="C113" s="7" t="s">
        <v>116</v>
      </c>
      <c r="D113" s="8"/>
      <c r="E113" s="8"/>
      <c r="F113" s="8" t="b">
        <v>0</v>
      </c>
      <c r="G113" s="9"/>
      <c r="H113" s="9"/>
      <c r="I113" s="9"/>
      <c r="J113" s="9"/>
      <c r="K113" s="9"/>
      <c r="L113" s="9">
        <v>10</v>
      </c>
      <c r="M113" s="9"/>
      <c r="N113" s="9"/>
      <c r="O113" s="9"/>
      <c r="P113" s="53"/>
      <c r="Q113" s="32" t="b">
        <f t="shared" si="664"/>
        <v>0</v>
      </c>
      <c r="R113" s="9">
        <f t="shared" ref="R113" si="1046">IF($Q113=TRUE,G113*$D$1,0)</f>
        <v>0</v>
      </c>
      <c r="S113" s="9">
        <f t="shared" ref="S113" si="1047">IF($Q113=TRUE,H113*$D$1,0)</f>
        <v>0</v>
      </c>
      <c r="T113" s="9">
        <f t="shared" ref="T113" si="1048">IF($Q113=TRUE,I113*$D$1,0)</f>
        <v>0</v>
      </c>
      <c r="U113" s="9">
        <f t="shared" ref="U113" si="1049">IF($Q113=TRUE,J113*$D$1,0)</f>
        <v>0</v>
      </c>
      <c r="V113" s="9">
        <f t="shared" ref="V113" si="1050">IF($Q113=TRUE,K113*$D$1,0)</f>
        <v>0</v>
      </c>
      <c r="W113" s="9">
        <f t="shared" ref="W113" si="1051">IF($Q113=TRUE,L113*$D$1,0)</f>
        <v>0</v>
      </c>
      <c r="X113" s="9">
        <f t="shared" ref="X113" si="1052">IF($Q113=TRUE,M113*$D$1,0)</f>
        <v>0</v>
      </c>
      <c r="Y113" s="9">
        <f t="shared" ref="Y113" si="1053">IF($Q113=TRUE,N113*$D$1,0)</f>
        <v>0</v>
      </c>
      <c r="Z113" s="9">
        <f t="shared" ref="Z113" si="1054">IF($Q113=TRUE,O113*$D$1,0)</f>
        <v>0</v>
      </c>
      <c r="AA113" s="9">
        <f t="shared" ref="AA113" si="1055">IF($Q113=TRUE,P113*$D$1,0)</f>
        <v>0</v>
      </c>
    </row>
    <row r="114" spans="1:27" x14ac:dyDescent="0.2">
      <c r="A114" s="77"/>
      <c r="B114" s="10" t="s">
        <v>28</v>
      </c>
      <c r="C114" s="11" t="s">
        <v>116</v>
      </c>
      <c r="D114" s="12"/>
      <c r="E114" s="25"/>
      <c r="F114" s="25" t="b">
        <v>0</v>
      </c>
      <c r="G114" s="9"/>
      <c r="H114" s="9"/>
      <c r="I114" s="9"/>
      <c r="J114" s="9"/>
      <c r="K114" s="9"/>
      <c r="L114" s="9">
        <v>20</v>
      </c>
      <c r="M114" s="9"/>
      <c r="N114" s="9"/>
      <c r="O114" s="9"/>
      <c r="P114" s="53"/>
      <c r="Q114" s="33" t="b">
        <f t="shared" si="675"/>
        <v>0</v>
      </c>
      <c r="R114" s="9">
        <f t="shared" ref="R114" si="1056">IF($Q114=TRUE,G114*$D$2,0)</f>
        <v>0</v>
      </c>
      <c r="S114" s="9">
        <f t="shared" ref="S114" si="1057">IF($Q114=TRUE,H114*$D$2,0)</f>
        <v>0</v>
      </c>
      <c r="T114" s="9">
        <f t="shared" ref="T114" si="1058">IF($Q114=TRUE,I114*$D$2,0)</f>
        <v>0</v>
      </c>
      <c r="U114" s="9">
        <f t="shared" ref="U114" si="1059">IF($Q114=TRUE,J114*$D$2,0)</f>
        <v>0</v>
      </c>
      <c r="V114" s="9">
        <f t="shared" ref="V114" si="1060">IF($Q114=TRUE,K114*$D$2,0)</f>
        <v>0</v>
      </c>
      <c r="W114" s="9">
        <f t="shared" ref="W114" si="1061">IF($Q114=TRUE,L114*$D$2,0)</f>
        <v>0</v>
      </c>
      <c r="X114" s="9">
        <f t="shared" ref="X114" si="1062">IF($Q114=TRUE,M114*$D$2,0)</f>
        <v>0</v>
      </c>
      <c r="Y114" s="9">
        <f t="shared" ref="Y114" si="1063">IF($Q114=TRUE,N114*$D$2,0)</f>
        <v>0</v>
      </c>
      <c r="Z114" s="9">
        <f t="shared" ref="Z114" si="1064">IF($Q114=TRUE,O114*$D$2,0)</f>
        <v>0</v>
      </c>
      <c r="AA114" s="9">
        <f t="shared" ref="AA114" si="1065">IF($Q114=TRUE,P114*$D$2,0)</f>
        <v>0</v>
      </c>
    </row>
    <row r="115" spans="1:27" x14ac:dyDescent="0.2">
      <c r="A115" s="77"/>
      <c r="B115" s="6" t="s">
        <v>23</v>
      </c>
      <c r="C115" s="7" t="s">
        <v>117</v>
      </c>
      <c r="D115" s="8"/>
      <c r="E115" s="8"/>
      <c r="F115" s="8" t="b">
        <v>0</v>
      </c>
      <c r="G115" s="9"/>
      <c r="H115" s="9"/>
      <c r="I115" s="9"/>
      <c r="J115" s="9"/>
      <c r="K115" s="9"/>
      <c r="L115" s="9">
        <v>10</v>
      </c>
      <c r="M115" s="9"/>
      <c r="N115" s="9"/>
      <c r="O115" s="9"/>
      <c r="P115" s="53"/>
      <c r="Q115" s="32" t="b">
        <f t="shared" si="664"/>
        <v>0</v>
      </c>
      <c r="R115" s="9">
        <f t="shared" ref="R115" si="1066">IF($Q115=TRUE,G115*$D$1,0)</f>
        <v>0</v>
      </c>
      <c r="S115" s="9">
        <f t="shared" ref="S115" si="1067">IF($Q115=TRUE,H115*$D$1,0)</f>
        <v>0</v>
      </c>
      <c r="T115" s="9">
        <f t="shared" ref="T115" si="1068">IF($Q115=TRUE,I115*$D$1,0)</f>
        <v>0</v>
      </c>
      <c r="U115" s="9">
        <f t="shared" ref="U115" si="1069">IF($Q115=TRUE,J115*$D$1,0)</f>
        <v>0</v>
      </c>
      <c r="V115" s="9">
        <f t="shared" ref="V115" si="1070">IF($Q115=TRUE,K115*$D$1,0)</f>
        <v>0</v>
      </c>
      <c r="W115" s="9">
        <f t="shared" ref="W115" si="1071">IF($Q115=TRUE,L115*$D$1,0)</f>
        <v>0</v>
      </c>
      <c r="X115" s="9">
        <f t="shared" ref="X115" si="1072">IF($Q115=TRUE,M115*$D$1,0)</f>
        <v>0</v>
      </c>
      <c r="Y115" s="9">
        <f t="shared" ref="Y115" si="1073">IF($Q115=TRUE,N115*$D$1,0)</f>
        <v>0</v>
      </c>
      <c r="Z115" s="9">
        <f t="shared" ref="Z115" si="1074">IF($Q115=TRUE,O115*$D$1,0)</f>
        <v>0</v>
      </c>
      <c r="AA115" s="9">
        <f t="shared" ref="AA115" si="1075">IF($Q115=TRUE,P115*$D$1,0)</f>
        <v>0</v>
      </c>
    </row>
    <row r="116" spans="1:27" x14ac:dyDescent="0.2">
      <c r="A116" s="77"/>
      <c r="B116" s="10" t="s">
        <v>28</v>
      </c>
      <c r="C116" s="11" t="s">
        <v>117</v>
      </c>
      <c r="D116" s="12"/>
      <c r="E116" s="25"/>
      <c r="F116" s="25" t="b">
        <v>0</v>
      </c>
      <c r="G116" s="9"/>
      <c r="H116" s="9"/>
      <c r="I116" s="9"/>
      <c r="J116" s="9"/>
      <c r="K116" s="9"/>
      <c r="L116" s="9">
        <v>20</v>
      </c>
      <c r="M116" s="9"/>
      <c r="N116" s="9"/>
      <c r="O116" s="9"/>
      <c r="P116" s="53"/>
      <c r="Q116" s="33" t="b">
        <f t="shared" si="675"/>
        <v>0</v>
      </c>
      <c r="R116" s="9">
        <f t="shared" ref="R116" si="1076">IF($Q116=TRUE,G116*$D$2,0)</f>
        <v>0</v>
      </c>
      <c r="S116" s="9">
        <f t="shared" ref="S116" si="1077">IF($Q116=TRUE,H116*$D$2,0)</f>
        <v>0</v>
      </c>
      <c r="T116" s="9">
        <f t="shared" ref="T116" si="1078">IF($Q116=TRUE,I116*$D$2,0)</f>
        <v>0</v>
      </c>
      <c r="U116" s="9">
        <f t="shared" ref="U116" si="1079">IF($Q116=TRUE,J116*$D$2,0)</f>
        <v>0</v>
      </c>
      <c r="V116" s="9">
        <f t="shared" ref="V116" si="1080">IF($Q116=TRUE,K116*$D$2,0)</f>
        <v>0</v>
      </c>
      <c r="W116" s="9">
        <f t="shared" ref="W116" si="1081">IF($Q116=TRUE,L116*$D$2,0)</f>
        <v>0</v>
      </c>
      <c r="X116" s="9">
        <f t="shared" ref="X116" si="1082">IF($Q116=TRUE,M116*$D$2,0)</f>
        <v>0</v>
      </c>
      <c r="Y116" s="9">
        <f t="shared" ref="Y116" si="1083">IF($Q116=TRUE,N116*$D$2,0)</f>
        <v>0</v>
      </c>
      <c r="Z116" s="9">
        <f t="shared" ref="Z116" si="1084">IF($Q116=TRUE,O116*$D$2,0)</f>
        <v>0</v>
      </c>
      <c r="AA116" s="9">
        <f t="shared" ref="AA116" si="1085">IF($Q116=TRUE,P116*$D$2,0)</f>
        <v>0</v>
      </c>
    </row>
    <row r="117" spans="1:27" x14ac:dyDescent="0.2">
      <c r="A117" s="77"/>
      <c r="B117" s="6" t="s">
        <v>23</v>
      </c>
      <c r="C117" s="7" t="s">
        <v>118</v>
      </c>
      <c r="D117" s="8"/>
      <c r="E117" s="8"/>
      <c r="F117" s="8" t="b">
        <v>0</v>
      </c>
      <c r="G117" s="9"/>
      <c r="H117" s="9"/>
      <c r="I117" s="9"/>
      <c r="J117" s="9"/>
      <c r="K117" s="9"/>
      <c r="L117" s="9">
        <v>20</v>
      </c>
      <c r="M117" s="9"/>
      <c r="N117" s="9"/>
      <c r="O117" s="9"/>
      <c r="P117" s="53"/>
      <c r="Q117" s="32" t="b">
        <f t="shared" si="664"/>
        <v>0</v>
      </c>
      <c r="R117" s="9">
        <f t="shared" ref="R117" si="1086">IF($Q117=TRUE,G117*$D$1,0)</f>
        <v>0</v>
      </c>
      <c r="S117" s="9">
        <f t="shared" ref="S117" si="1087">IF($Q117=TRUE,H117*$D$1,0)</f>
        <v>0</v>
      </c>
      <c r="T117" s="9">
        <f t="shared" ref="T117" si="1088">IF($Q117=TRUE,I117*$D$1,0)</f>
        <v>0</v>
      </c>
      <c r="U117" s="9">
        <f t="shared" ref="U117" si="1089">IF($Q117=TRUE,J117*$D$1,0)</f>
        <v>0</v>
      </c>
      <c r="V117" s="9">
        <f t="shared" ref="V117" si="1090">IF($Q117=TRUE,K117*$D$1,0)</f>
        <v>0</v>
      </c>
      <c r="W117" s="9">
        <f t="shared" ref="W117" si="1091">IF($Q117=TRUE,L117*$D$1,0)</f>
        <v>0</v>
      </c>
      <c r="X117" s="9">
        <f t="shared" ref="X117" si="1092">IF($Q117=TRUE,M117*$D$1,0)</f>
        <v>0</v>
      </c>
      <c r="Y117" s="9">
        <f t="shared" ref="Y117" si="1093">IF($Q117=TRUE,N117*$D$1,0)</f>
        <v>0</v>
      </c>
      <c r="Z117" s="9">
        <f t="shared" ref="Z117" si="1094">IF($Q117=TRUE,O117*$D$1,0)</f>
        <v>0</v>
      </c>
      <c r="AA117" s="9">
        <f t="shared" ref="AA117" si="1095">IF($Q117=TRUE,P117*$D$1,0)</f>
        <v>0</v>
      </c>
    </row>
    <row r="118" spans="1:27" x14ac:dyDescent="0.2">
      <c r="A118" s="77"/>
      <c r="B118" s="10" t="s">
        <v>28</v>
      </c>
      <c r="C118" s="11" t="s">
        <v>118</v>
      </c>
      <c r="D118" s="12"/>
      <c r="E118" s="25"/>
      <c r="F118" s="25" t="b">
        <v>0</v>
      </c>
      <c r="G118" s="9"/>
      <c r="H118" s="9"/>
      <c r="I118" s="9"/>
      <c r="J118" s="9"/>
      <c r="K118" s="9"/>
      <c r="L118" s="9">
        <v>40</v>
      </c>
      <c r="M118" s="9"/>
      <c r="N118" s="9"/>
      <c r="O118" s="9"/>
      <c r="P118" s="53"/>
      <c r="Q118" s="33" t="b">
        <f t="shared" si="675"/>
        <v>0</v>
      </c>
      <c r="R118" s="9">
        <f t="shared" ref="R118" si="1096">IF($Q118=TRUE,G118*$D$2,0)</f>
        <v>0</v>
      </c>
      <c r="S118" s="9">
        <f t="shared" ref="S118" si="1097">IF($Q118=TRUE,H118*$D$2,0)</f>
        <v>0</v>
      </c>
      <c r="T118" s="9">
        <f t="shared" ref="T118" si="1098">IF($Q118=TRUE,I118*$D$2,0)</f>
        <v>0</v>
      </c>
      <c r="U118" s="9">
        <f t="shared" ref="U118" si="1099">IF($Q118=TRUE,J118*$D$2,0)</f>
        <v>0</v>
      </c>
      <c r="V118" s="9">
        <f t="shared" ref="V118" si="1100">IF($Q118=TRUE,K118*$D$2,0)</f>
        <v>0</v>
      </c>
      <c r="W118" s="9">
        <f t="shared" ref="W118" si="1101">IF($Q118=TRUE,L118*$D$2,0)</f>
        <v>0</v>
      </c>
      <c r="X118" s="9">
        <f t="shared" ref="X118" si="1102">IF($Q118=TRUE,M118*$D$2,0)</f>
        <v>0</v>
      </c>
      <c r="Y118" s="9">
        <f t="shared" ref="Y118" si="1103">IF($Q118=TRUE,N118*$D$2,0)</f>
        <v>0</v>
      </c>
      <c r="Z118" s="9">
        <f t="shared" ref="Z118" si="1104">IF($Q118=TRUE,O118*$D$2,0)</f>
        <v>0</v>
      </c>
      <c r="AA118" s="9">
        <f t="shared" ref="AA118" si="1105">IF($Q118=TRUE,P118*$D$2,0)</f>
        <v>0</v>
      </c>
    </row>
    <row r="119" spans="1:27" x14ac:dyDescent="0.2">
      <c r="A119" s="77"/>
      <c r="B119" s="6" t="s">
        <v>23</v>
      </c>
      <c r="C119" s="7" t="s">
        <v>119</v>
      </c>
      <c r="D119" s="8"/>
      <c r="E119" s="8"/>
      <c r="F119" s="8" t="b">
        <v>0</v>
      </c>
      <c r="G119" s="9"/>
      <c r="H119" s="9"/>
      <c r="I119" s="9"/>
      <c r="J119" s="9"/>
      <c r="K119" s="9"/>
      <c r="L119" s="9"/>
      <c r="M119" s="9"/>
      <c r="N119" s="9"/>
      <c r="O119" s="9"/>
      <c r="P119" s="53"/>
      <c r="Q119" s="32" t="b">
        <f t="shared" si="664"/>
        <v>0</v>
      </c>
      <c r="R119" s="9">
        <f t="shared" ref="R119" si="1106">IF($Q119=TRUE,G119*$D$1,0)</f>
        <v>0</v>
      </c>
      <c r="S119" s="9">
        <f t="shared" ref="S119" si="1107">IF($Q119=TRUE,H119*$D$1,0)</f>
        <v>0</v>
      </c>
      <c r="T119" s="9">
        <f t="shared" ref="T119" si="1108">IF($Q119=TRUE,I119*$D$1,0)</f>
        <v>0</v>
      </c>
      <c r="U119" s="9">
        <f t="shared" ref="U119" si="1109">IF($Q119=TRUE,J119*$D$1,0)</f>
        <v>0</v>
      </c>
      <c r="V119" s="9">
        <f t="shared" ref="V119" si="1110">IF($Q119=TRUE,K119*$D$1,0)</f>
        <v>0</v>
      </c>
      <c r="W119" s="9">
        <f t="shared" ref="W119" si="1111">IF($Q119=TRUE,L119*$D$1,0)</f>
        <v>0</v>
      </c>
      <c r="X119" s="9">
        <f t="shared" ref="X119" si="1112">IF($Q119=TRUE,M119*$D$1,0)</f>
        <v>0</v>
      </c>
      <c r="Y119" s="9">
        <f t="shared" ref="Y119" si="1113">IF($Q119=TRUE,N119*$D$1,0)</f>
        <v>0</v>
      </c>
      <c r="Z119" s="9">
        <f t="shared" ref="Z119" si="1114">IF($Q119=TRUE,O119*$D$1,0)</f>
        <v>0</v>
      </c>
      <c r="AA119" s="9">
        <f t="shared" ref="AA119" si="1115">IF($Q119=TRUE,P119*$D$1,0)</f>
        <v>0</v>
      </c>
    </row>
    <row r="120" spans="1:27" x14ac:dyDescent="0.2">
      <c r="A120" s="77"/>
      <c r="B120" s="10" t="s">
        <v>28</v>
      </c>
      <c r="C120" s="11" t="s">
        <v>119</v>
      </c>
      <c r="D120" s="12"/>
      <c r="E120" s="25"/>
      <c r="F120" s="25" t="b">
        <v>0</v>
      </c>
      <c r="G120" s="9"/>
      <c r="H120" s="9"/>
      <c r="I120" s="9"/>
      <c r="J120" s="9"/>
      <c r="K120" s="9"/>
      <c r="L120" s="9"/>
      <c r="M120" s="9"/>
      <c r="N120" s="9"/>
      <c r="O120" s="9"/>
      <c r="P120" s="53"/>
      <c r="Q120" s="33" t="b">
        <f t="shared" si="675"/>
        <v>0</v>
      </c>
      <c r="R120" s="9">
        <f t="shared" ref="R120" si="1116">IF($Q120=TRUE,G120*$D$2,0)</f>
        <v>0</v>
      </c>
      <c r="S120" s="9">
        <f t="shared" ref="S120" si="1117">IF($Q120=TRUE,H120*$D$2,0)</f>
        <v>0</v>
      </c>
      <c r="T120" s="9">
        <f t="shared" ref="T120" si="1118">IF($Q120=TRUE,I120*$D$2,0)</f>
        <v>0</v>
      </c>
      <c r="U120" s="9">
        <f t="shared" ref="U120" si="1119">IF($Q120=TRUE,J120*$D$2,0)</f>
        <v>0</v>
      </c>
      <c r="V120" s="9">
        <f t="shared" ref="V120" si="1120">IF($Q120=TRUE,K120*$D$2,0)</f>
        <v>0</v>
      </c>
      <c r="W120" s="9">
        <f t="shared" ref="W120" si="1121">IF($Q120=TRUE,L120*$D$2,0)</f>
        <v>0</v>
      </c>
      <c r="X120" s="9">
        <f t="shared" ref="X120" si="1122">IF($Q120=TRUE,M120*$D$2,0)</f>
        <v>0</v>
      </c>
      <c r="Y120" s="9">
        <f t="shared" ref="Y120" si="1123">IF($Q120=TRUE,N120*$D$2,0)</f>
        <v>0</v>
      </c>
      <c r="Z120" s="9">
        <f t="shared" ref="Z120" si="1124">IF($Q120=TRUE,O120*$D$2,0)</f>
        <v>0</v>
      </c>
      <c r="AA120" s="9">
        <f t="shared" ref="AA120" si="1125">IF($Q120=TRUE,P120*$D$2,0)</f>
        <v>0</v>
      </c>
    </row>
    <row r="121" spans="1:27" x14ac:dyDescent="0.2">
      <c r="A121" s="77"/>
      <c r="B121" s="6" t="s">
        <v>23</v>
      </c>
      <c r="C121" s="7" t="s">
        <v>120</v>
      </c>
      <c r="D121" s="8"/>
      <c r="E121" s="8"/>
      <c r="F121" s="8" t="b">
        <v>0</v>
      </c>
      <c r="G121" s="9"/>
      <c r="H121" s="9"/>
      <c r="I121" s="9"/>
      <c r="J121" s="9"/>
      <c r="K121" s="9"/>
      <c r="L121" s="9"/>
      <c r="M121" s="9"/>
      <c r="N121" s="9"/>
      <c r="O121" s="9"/>
      <c r="P121" s="53"/>
      <c r="Q121" s="32" t="b">
        <f t="shared" si="664"/>
        <v>0</v>
      </c>
      <c r="R121" s="9">
        <f t="shared" ref="R121" si="1126">IF($Q121=TRUE,G121*$D$1,0)</f>
        <v>0</v>
      </c>
      <c r="S121" s="9">
        <f t="shared" ref="S121" si="1127">IF($Q121=TRUE,H121*$D$1,0)</f>
        <v>0</v>
      </c>
      <c r="T121" s="9">
        <f t="shared" ref="T121" si="1128">IF($Q121=TRUE,I121*$D$1,0)</f>
        <v>0</v>
      </c>
      <c r="U121" s="9">
        <f t="shared" ref="U121" si="1129">IF($Q121=TRUE,J121*$D$1,0)</f>
        <v>0</v>
      </c>
      <c r="V121" s="9">
        <f t="shared" ref="V121" si="1130">IF($Q121=TRUE,K121*$D$1,0)</f>
        <v>0</v>
      </c>
      <c r="W121" s="9">
        <f t="shared" ref="W121" si="1131">IF($Q121=TRUE,L121*$D$1,0)</f>
        <v>0</v>
      </c>
      <c r="X121" s="9">
        <f t="shared" ref="X121" si="1132">IF($Q121=TRUE,M121*$D$1,0)</f>
        <v>0</v>
      </c>
      <c r="Y121" s="9">
        <f t="shared" ref="Y121" si="1133">IF($Q121=TRUE,N121*$D$1,0)</f>
        <v>0</v>
      </c>
      <c r="Z121" s="9">
        <f t="shared" ref="Z121" si="1134">IF($Q121=TRUE,O121*$D$1,0)</f>
        <v>0</v>
      </c>
      <c r="AA121" s="9">
        <f t="shared" ref="AA121" si="1135">IF($Q121=TRUE,P121*$D$1,0)</f>
        <v>0</v>
      </c>
    </row>
    <row r="122" spans="1:27" ht="13.5" thickBot="1" x14ac:dyDescent="0.25">
      <c r="A122" s="78"/>
      <c r="B122" s="40" t="s">
        <v>28</v>
      </c>
      <c r="C122" s="41" t="s">
        <v>120</v>
      </c>
      <c r="D122" s="42"/>
      <c r="E122" s="43"/>
      <c r="F122" s="43" t="b">
        <v>0</v>
      </c>
      <c r="G122" s="54"/>
      <c r="H122" s="54"/>
      <c r="I122" s="54"/>
      <c r="J122" s="54"/>
      <c r="K122" s="54"/>
      <c r="L122" s="54"/>
      <c r="M122" s="54"/>
      <c r="N122" s="54"/>
      <c r="O122" s="54"/>
      <c r="P122" s="55"/>
      <c r="Q122" s="33" t="b">
        <f t="shared" si="675"/>
        <v>0</v>
      </c>
      <c r="R122" s="9">
        <f t="shared" ref="R122" si="1136">IF($Q122=TRUE,G122*$D$2,0)</f>
        <v>0</v>
      </c>
      <c r="S122" s="9">
        <f t="shared" ref="S122" si="1137">IF($Q122=TRUE,H122*$D$2,0)</f>
        <v>0</v>
      </c>
      <c r="T122" s="9">
        <f t="shared" ref="T122" si="1138">IF($Q122=TRUE,I122*$D$2,0)</f>
        <v>0</v>
      </c>
      <c r="U122" s="9">
        <f t="shared" ref="U122" si="1139">IF($Q122=TRUE,J122*$D$2,0)</f>
        <v>0</v>
      </c>
      <c r="V122" s="9">
        <f t="shared" ref="V122" si="1140">IF($Q122=TRUE,K122*$D$2,0)</f>
        <v>0</v>
      </c>
      <c r="W122" s="9">
        <f t="shared" ref="W122" si="1141">IF($Q122=TRUE,L122*$D$2,0)</f>
        <v>0</v>
      </c>
      <c r="X122" s="9">
        <f t="shared" ref="X122" si="1142">IF($Q122=TRUE,M122*$D$2,0)</f>
        <v>0</v>
      </c>
      <c r="Y122" s="9">
        <f t="shared" ref="Y122" si="1143">IF($Q122=TRUE,N122*$D$2,0)</f>
        <v>0</v>
      </c>
      <c r="Z122" s="9">
        <f t="shared" ref="Z122" si="1144">IF($Q122=TRUE,O122*$D$2,0)</f>
        <v>0</v>
      </c>
      <c r="AA122" s="9">
        <f t="shared" ref="AA122" si="1145">IF($Q122=TRUE,P122*$D$2,0)</f>
        <v>0</v>
      </c>
    </row>
    <row r="123" spans="1:27" x14ac:dyDescent="0.2">
      <c r="A123" s="76" t="s">
        <v>121</v>
      </c>
      <c r="B123" s="34" t="s">
        <v>23</v>
      </c>
      <c r="C123" s="35" t="s">
        <v>122</v>
      </c>
      <c r="D123" s="36"/>
      <c r="E123" s="36"/>
      <c r="F123" s="36" t="b">
        <v>0</v>
      </c>
      <c r="G123" s="46"/>
      <c r="H123" s="46"/>
      <c r="I123" s="46"/>
      <c r="J123" s="46"/>
      <c r="K123" s="46"/>
      <c r="L123" s="46"/>
      <c r="M123" s="46"/>
      <c r="N123" s="46"/>
      <c r="O123" s="46"/>
      <c r="P123" s="47"/>
      <c r="Q123" s="32" t="b">
        <f t="shared" si="664"/>
        <v>0</v>
      </c>
      <c r="R123" s="9">
        <f t="shared" ref="R123" si="1146">IF($Q123=TRUE,G123*$D$1,0)</f>
        <v>0</v>
      </c>
      <c r="S123" s="9">
        <f t="shared" ref="S123" si="1147">IF($Q123=TRUE,H123*$D$1,0)</f>
        <v>0</v>
      </c>
      <c r="T123" s="9">
        <f t="shared" ref="T123" si="1148">IF($Q123=TRUE,I123*$D$1,0)</f>
        <v>0</v>
      </c>
      <c r="U123" s="9">
        <f t="shared" ref="U123" si="1149">IF($Q123=TRUE,J123*$D$1,0)</f>
        <v>0</v>
      </c>
      <c r="V123" s="9">
        <f t="shared" ref="V123" si="1150">IF($Q123=TRUE,K123*$D$1,0)</f>
        <v>0</v>
      </c>
      <c r="W123" s="9">
        <f t="shared" ref="W123" si="1151">IF($Q123=TRUE,L123*$D$1,0)</f>
        <v>0</v>
      </c>
      <c r="X123" s="9">
        <f t="shared" ref="X123" si="1152">IF($Q123=TRUE,M123*$D$1,0)</f>
        <v>0</v>
      </c>
      <c r="Y123" s="9">
        <f t="shared" ref="Y123" si="1153">IF($Q123=TRUE,N123*$D$1,0)</f>
        <v>0</v>
      </c>
      <c r="Z123" s="9">
        <f t="shared" ref="Z123" si="1154">IF($Q123=TRUE,O123*$D$1,0)</f>
        <v>0</v>
      </c>
      <c r="AA123" s="9">
        <f t="shared" ref="AA123" si="1155">IF($Q123=TRUE,P123*$D$1,0)</f>
        <v>0</v>
      </c>
    </row>
    <row r="124" spans="1:27" x14ac:dyDescent="0.2">
      <c r="A124" s="77"/>
      <c r="B124" s="10" t="s">
        <v>28</v>
      </c>
      <c r="C124" s="11" t="s">
        <v>122</v>
      </c>
      <c r="D124" s="12"/>
      <c r="E124" s="25"/>
      <c r="F124" s="25" t="b">
        <v>0</v>
      </c>
      <c r="G124" s="28"/>
      <c r="H124" s="28"/>
      <c r="I124" s="28"/>
      <c r="J124" s="28">
        <v>196</v>
      </c>
      <c r="K124" s="28"/>
      <c r="L124" s="28"/>
      <c r="M124" s="28"/>
      <c r="N124" s="28"/>
      <c r="O124" s="28"/>
      <c r="P124" s="48"/>
      <c r="Q124" s="33" t="b">
        <f t="shared" si="675"/>
        <v>0</v>
      </c>
      <c r="R124" s="9">
        <f t="shared" ref="R124" si="1156">IF($Q124=TRUE,G124*$D$2,0)</f>
        <v>0</v>
      </c>
      <c r="S124" s="9">
        <f t="shared" ref="S124" si="1157">IF($Q124=TRUE,H124*$D$2,0)</f>
        <v>0</v>
      </c>
      <c r="T124" s="9">
        <f t="shared" ref="T124" si="1158">IF($Q124=TRUE,I124*$D$2,0)</f>
        <v>0</v>
      </c>
      <c r="U124" s="9">
        <f t="shared" ref="U124" si="1159">IF($Q124=TRUE,J124*$D$2,0)</f>
        <v>0</v>
      </c>
      <c r="V124" s="9">
        <f t="shared" ref="V124" si="1160">IF($Q124=TRUE,K124*$D$2,0)</f>
        <v>0</v>
      </c>
      <c r="W124" s="9">
        <f t="shared" ref="W124" si="1161">IF($Q124=TRUE,L124*$D$2,0)</f>
        <v>0</v>
      </c>
      <c r="X124" s="9">
        <f t="shared" ref="X124" si="1162">IF($Q124=TRUE,M124*$D$2,0)</f>
        <v>0</v>
      </c>
      <c r="Y124" s="9">
        <f t="shared" ref="Y124" si="1163">IF($Q124=TRUE,N124*$D$2,0)</f>
        <v>0</v>
      </c>
      <c r="Z124" s="9">
        <f t="shared" ref="Z124" si="1164">IF($Q124=TRUE,O124*$D$2,0)</f>
        <v>0</v>
      </c>
      <c r="AA124" s="9">
        <f t="shared" ref="AA124" si="1165">IF($Q124=TRUE,P124*$D$2,0)</f>
        <v>0</v>
      </c>
    </row>
    <row r="125" spans="1:27" x14ac:dyDescent="0.2">
      <c r="A125" s="77"/>
      <c r="B125" s="6" t="s">
        <v>23</v>
      </c>
      <c r="C125" s="7" t="s">
        <v>123</v>
      </c>
      <c r="D125" s="8"/>
      <c r="E125" s="8"/>
      <c r="F125" s="8" t="b">
        <v>0</v>
      </c>
      <c r="G125" s="28"/>
      <c r="H125" s="28"/>
      <c r="I125" s="28"/>
      <c r="J125" s="28"/>
      <c r="K125" s="28"/>
      <c r="L125" s="28"/>
      <c r="M125" s="28"/>
      <c r="N125" s="28"/>
      <c r="O125" s="28"/>
      <c r="P125" s="48"/>
      <c r="Q125" s="32" t="b">
        <f t="shared" si="664"/>
        <v>0</v>
      </c>
      <c r="R125" s="9">
        <f t="shared" ref="R125" si="1166">IF($Q125=TRUE,G125*$D$1,0)</f>
        <v>0</v>
      </c>
      <c r="S125" s="9">
        <f t="shared" ref="S125" si="1167">IF($Q125=TRUE,H125*$D$1,0)</f>
        <v>0</v>
      </c>
      <c r="T125" s="9">
        <f t="shared" ref="T125" si="1168">IF($Q125=TRUE,I125*$D$1,0)</f>
        <v>0</v>
      </c>
      <c r="U125" s="9">
        <f t="shared" ref="U125" si="1169">IF($Q125=TRUE,J125*$D$1,0)</f>
        <v>0</v>
      </c>
      <c r="V125" s="9">
        <f t="shared" ref="V125" si="1170">IF($Q125=TRUE,K125*$D$1,0)</f>
        <v>0</v>
      </c>
      <c r="W125" s="9">
        <f t="shared" ref="W125" si="1171">IF($Q125=TRUE,L125*$D$1,0)</f>
        <v>0</v>
      </c>
      <c r="X125" s="9">
        <f t="shared" ref="X125" si="1172">IF($Q125=TRUE,M125*$D$1,0)</f>
        <v>0</v>
      </c>
      <c r="Y125" s="9">
        <f t="shared" ref="Y125" si="1173">IF($Q125=TRUE,N125*$D$1,0)</f>
        <v>0</v>
      </c>
      <c r="Z125" s="9">
        <f t="shared" ref="Z125" si="1174">IF($Q125=TRUE,O125*$D$1,0)</f>
        <v>0</v>
      </c>
      <c r="AA125" s="9">
        <f t="shared" ref="AA125" si="1175">IF($Q125=TRUE,P125*$D$1,0)</f>
        <v>0</v>
      </c>
    </row>
    <row r="126" spans="1:27" x14ac:dyDescent="0.2">
      <c r="A126" s="77"/>
      <c r="B126" s="10" t="s">
        <v>28</v>
      </c>
      <c r="C126" s="11" t="s">
        <v>123</v>
      </c>
      <c r="D126" s="12"/>
      <c r="E126" s="25"/>
      <c r="F126" s="25" t="b">
        <v>0</v>
      </c>
      <c r="G126" s="28"/>
      <c r="H126" s="28"/>
      <c r="I126" s="28"/>
      <c r="J126" s="28">
        <v>185</v>
      </c>
      <c r="K126" s="28"/>
      <c r="L126" s="28"/>
      <c r="M126" s="28"/>
      <c r="N126" s="28"/>
      <c r="O126" s="28"/>
      <c r="P126" s="48"/>
      <c r="Q126" s="33" t="b">
        <f t="shared" si="675"/>
        <v>0</v>
      </c>
      <c r="R126" s="9">
        <f t="shared" ref="R126" si="1176">IF($Q126=TRUE,G126*$D$2,0)</f>
        <v>0</v>
      </c>
      <c r="S126" s="9">
        <f t="shared" ref="S126" si="1177">IF($Q126=TRUE,H126*$D$2,0)</f>
        <v>0</v>
      </c>
      <c r="T126" s="9">
        <f t="shared" ref="T126" si="1178">IF($Q126=TRUE,I126*$D$2,0)</f>
        <v>0</v>
      </c>
      <c r="U126" s="9">
        <f t="shared" ref="U126" si="1179">IF($Q126=TRUE,J126*$D$2,0)</f>
        <v>0</v>
      </c>
      <c r="V126" s="9">
        <f t="shared" ref="V126" si="1180">IF($Q126=TRUE,K126*$D$2,0)</f>
        <v>0</v>
      </c>
      <c r="W126" s="9">
        <f t="shared" ref="W126" si="1181">IF($Q126=TRUE,L126*$D$2,0)</f>
        <v>0</v>
      </c>
      <c r="X126" s="9">
        <f t="shared" ref="X126" si="1182">IF($Q126=TRUE,M126*$D$2,0)</f>
        <v>0</v>
      </c>
      <c r="Y126" s="9">
        <f t="shared" ref="Y126" si="1183">IF($Q126=TRUE,N126*$D$2,0)</f>
        <v>0</v>
      </c>
      <c r="Z126" s="9">
        <f t="shared" ref="Z126" si="1184">IF($Q126=TRUE,O126*$D$2,0)</f>
        <v>0</v>
      </c>
      <c r="AA126" s="9">
        <f t="shared" ref="AA126" si="1185">IF($Q126=TRUE,P126*$D$2,0)</f>
        <v>0</v>
      </c>
    </row>
    <row r="127" spans="1:27" x14ac:dyDescent="0.2">
      <c r="A127" s="77"/>
      <c r="B127" s="6" t="s">
        <v>23</v>
      </c>
      <c r="C127" s="7" t="s">
        <v>124</v>
      </c>
      <c r="D127" s="8"/>
      <c r="E127" s="8"/>
      <c r="F127" s="8" t="b">
        <v>0</v>
      </c>
      <c r="G127" s="28"/>
      <c r="H127" s="28"/>
      <c r="I127" s="28"/>
      <c r="J127" s="28">
        <v>69</v>
      </c>
      <c r="K127" s="28"/>
      <c r="L127" s="28"/>
      <c r="M127" s="28"/>
      <c r="N127" s="28"/>
      <c r="O127" s="28"/>
      <c r="P127" s="48"/>
      <c r="Q127" s="32" t="b">
        <f t="shared" si="664"/>
        <v>0</v>
      </c>
      <c r="R127" s="9">
        <f t="shared" ref="R127" si="1186">IF($Q127=TRUE,G127*$D$1,0)</f>
        <v>0</v>
      </c>
      <c r="S127" s="9">
        <f t="shared" ref="S127" si="1187">IF($Q127=TRUE,H127*$D$1,0)</f>
        <v>0</v>
      </c>
      <c r="T127" s="9">
        <f t="shared" ref="T127" si="1188">IF($Q127=TRUE,I127*$D$1,0)</f>
        <v>0</v>
      </c>
      <c r="U127" s="9">
        <f t="shared" ref="U127" si="1189">IF($Q127=TRUE,J127*$D$1,0)</f>
        <v>0</v>
      </c>
      <c r="V127" s="9">
        <f t="shared" ref="V127" si="1190">IF($Q127=TRUE,K127*$D$1,0)</f>
        <v>0</v>
      </c>
      <c r="W127" s="9">
        <f t="shared" ref="W127" si="1191">IF($Q127=TRUE,L127*$D$1,0)</f>
        <v>0</v>
      </c>
      <c r="X127" s="9">
        <f t="shared" ref="X127" si="1192">IF($Q127=TRUE,M127*$D$1,0)</f>
        <v>0</v>
      </c>
      <c r="Y127" s="9">
        <f t="shared" ref="Y127" si="1193">IF($Q127=TRUE,N127*$D$1,0)</f>
        <v>0</v>
      </c>
      <c r="Z127" s="9">
        <f t="shared" ref="Z127" si="1194">IF($Q127=TRUE,O127*$D$1,0)</f>
        <v>0</v>
      </c>
      <c r="AA127" s="9">
        <f t="shared" ref="AA127" si="1195">IF($Q127=TRUE,P127*$D$1,0)</f>
        <v>0</v>
      </c>
    </row>
    <row r="128" spans="1:27" x14ac:dyDescent="0.2">
      <c r="A128" s="77"/>
      <c r="B128" s="10" t="s">
        <v>28</v>
      </c>
      <c r="C128" s="11" t="s">
        <v>124</v>
      </c>
      <c r="D128" s="12"/>
      <c r="E128" s="25"/>
      <c r="F128" s="25" t="b">
        <v>0</v>
      </c>
      <c r="G128" s="28"/>
      <c r="H128" s="28"/>
      <c r="I128" s="28"/>
      <c r="J128" s="28">
        <v>110</v>
      </c>
      <c r="K128" s="28"/>
      <c r="L128" s="28"/>
      <c r="M128" s="28"/>
      <c r="N128" s="28"/>
      <c r="O128" s="28"/>
      <c r="P128" s="48"/>
      <c r="Q128" s="33" t="b">
        <f t="shared" si="675"/>
        <v>0</v>
      </c>
      <c r="R128" s="9">
        <f t="shared" ref="R128" si="1196">IF($Q128=TRUE,G128*$D$2,0)</f>
        <v>0</v>
      </c>
      <c r="S128" s="9">
        <f t="shared" ref="S128" si="1197">IF($Q128=TRUE,H128*$D$2,0)</f>
        <v>0</v>
      </c>
      <c r="T128" s="9">
        <f t="shared" ref="T128" si="1198">IF($Q128=TRUE,I128*$D$2,0)</f>
        <v>0</v>
      </c>
      <c r="U128" s="9">
        <f t="shared" ref="U128" si="1199">IF($Q128=TRUE,J128*$D$2,0)</f>
        <v>0</v>
      </c>
      <c r="V128" s="9">
        <f t="shared" ref="V128" si="1200">IF($Q128=TRUE,K128*$D$2,0)</f>
        <v>0</v>
      </c>
      <c r="W128" s="9">
        <f t="shared" ref="W128" si="1201">IF($Q128=TRUE,L128*$D$2,0)</f>
        <v>0</v>
      </c>
      <c r="X128" s="9">
        <f t="shared" ref="X128" si="1202">IF($Q128=TRUE,M128*$D$2,0)</f>
        <v>0</v>
      </c>
      <c r="Y128" s="9">
        <f t="shared" ref="Y128" si="1203">IF($Q128=TRUE,N128*$D$2,0)</f>
        <v>0</v>
      </c>
      <c r="Z128" s="9">
        <f t="shared" ref="Z128" si="1204">IF($Q128=TRUE,O128*$D$2,0)</f>
        <v>0</v>
      </c>
      <c r="AA128" s="9">
        <f t="shared" ref="AA128" si="1205">IF($Q128=TRUE,P128*$D$2,0)</f>
        <v>0</v>
      </c>
    </row>
    <row r="129" spans="1:27" x14ac:dyDescent="0.2">
      <c r="A129" s="77"/>
      <c r="B129" s="6" t="s">
        <v>23</v>
      </c>
      <c r="C129" s="7" t="s">
        <v>125</v>
      </c>
      <c r="D129" s="8"/>
      <c r="E129" s="8"/>
      <c r="F129" s="8" t="b">
        <v>0</v>
      </c>
      <c r="G129" s="28"/>
      <c r="H129" s="28"/>
      <c r="I129" s="28"/>
      <c r="J129" s="28">
        <v>75</v>
      </c>
      <c r="K129" s="28"/>
      <c r="L129" s="28"/>
      <c r="M129" s="28"/>
      <c r="N129" s="28"/>
      <c r="O129" s="28"/>
      <c r="P129" s="48"/>
      <c r="Q129" s="32" t="b">
        <f t="shared" si="664"/>
        <v>0</v>
      </c>
      <c r="R129" s="9">
        <f t="shared" ref="R129" si="1206">IF($Q129=TRUE,G129*$D$1,0)</f>
        <v>0</v>
      </c>
      <c r="S129" s="9">
        <f t="shared" ref="S129" si="1207">IF($Q129=TRUE,H129*$D$1,0)</f>
        <v>0</v>
      </c>
      <c r="T129" s="9">
        <f t="shared" ref="T129" si="1208">IF($Q129=TRUE,I129*$D$1,0)</f>
        <v>0</v>
      </c>
      <c r="U129" s="9">
        <f t="shared" ref="U129" si="1209">IF($Q129=TRUE,J129*$D$1,0)</f>
        <v>0</v>
      </c>
      <c r="V129" s="9">
        <f t="shared" ref="V129" si="1210">IF($Q129=TRUE,K129*$D$1,0)</f>
        <v>0</v>
      </c>
      <c r="W129" s="9">
        <f t="shared" ref="W129" si="1211">IF($Q129=TRUE,L129*$D$1,0)</f>
        <v>0</v>
      </c>
      <c r="X129" s="9">
        <f t="shared" ref="X129" si="1212">IF($Q129=TRUE,M129*$D$1,0)</f>
        <v>0</v>
      </c>
      <c r="Y129" s="9">
        <f t="shared" ref="Y129" si="1213">IF($Q129=TRUE,N129*$D$1,0)</f>
        <v>0</v>
      </c>
      <c r="Z129" s="9">
        <f t="shared" ref="Z129" si="1214">IF($Q129=TRUE,O129*$D$1,0)</f>
        <v>0</v>
      </c>
      <c r="AA129" s="9">
        <f t="shared" ref="AA129" si="1215">IF($Q129=TRUE,P129*$D$1,0)</f>
        <v>0</v>
      </c>
    </row>
    <row r="130" spans="1:27" x14ac:dyDescent="0.2">
      <c r="A130" s="77"/>
      <c r="B130" s="10" t="s">
        <v>28</v>
      </c>
      <c r="C130" s="11" t="s">
        <v>125</v>
      </c>
      <c r="D130" s="12"/>
      <c r="E130" s="25"/>
      <c r="F130" s="25" t="b">
        <v>0</v>
      </c>
      <c r="G130" s="28"/>
      <c r="H130" s="28"/>
      <c r="I130" s="28"/>
      <c r="J130" s="28">
        <v>124</v>
      </c>
      <c r="K130" s="28"/>
      <c r="L130" s="28"/>
      <c r="M130" s="28"/>
      <c r="N130" s="28"/>
      <c r="O130" s="28"/>
      <c r="P130" s="48"/>
      <c r="Q130" s="33" t="b">
        <f t="shared" si="675"/>
        <v>0</v>
      </c>
      <c r="R130" s="9">
        <f t="shared" ref="R130" si="1216">IF($Q130=TRUE,G130*$D$2,0)</f>
        <v>0</v>
      </c>
      <c r="S130" s="9">
        <f t="shared" ref="S130" si="1217">IF($Q130=TRUE,H130*$D$2,0)</f>
        <v>0</v>
      </c>
      <c r="T130" s="9">
        <f t="shared" ref="T130" si="1218">IF($Q130=TRUE,I130*$D$2,0)</f>
        <v>0</v>
      </c>
      <c r="U130" s="9">
        <f t="shared" ref="U130" si="1219">IF($Q130=TRUE,J130*$D$2,0)</f>
        <v>0</v>
      </c>
      <c r="V130" s="9">
        <f t="shared" ref="V130" si="1220">IF($Q130=TRUE,K130*$D$2,0)</f>
        <v>0</v>
      </c>
      <c r="W130" s="9">
        <f t="shared" ref="W130" si="1221">IF($Q130=TRUE,L130*$D$2,0)</f>
        <v>0</v>
      </c>
      <c r="X130" s="9">
        <f t="shared" ref="X130" si="1222">IF($Q130=TRUE,M130*$D$2,0)</f>
        <v>0</v>
      </c>
      <c r="Y130" s="9">
        <f t="shared" ref="Y130" si="1223">IF($Q130=TRUE,N130*$D$2,0)</f>
        <v>0</v>
      </c>
      <c r="Z130" s="9">
        <f t="shared" ref="Z130" si="1224">IF($Q130=TRUE,O130*$D$2,0)</f>
        <v>0</v>
      </c>
      <c r="AA130" s="9">
        <f t="shared" ref="AA130" si="1225">IF($Q130=TRUE,P130*$D$2,0)</f>
        <v>0</v>
      </c>
    </row>
    <row r="131" spans="1:27" x14ac:dyDescent="0.2">
      <c r="A131" s="77"/>
      <c r="B131" s="6" t="s">
        <v>23</v>
      </c>
      <c r="C131" s="7" t="s">
        <v>126</v>
      </c>
      <c r="D131" s="8"/>
      <c r="E131" s="8"/>
      <c r="F131" s="8" t="b">
        <v>0</v>
      </c>
      <c r="G131" s="28"/>
      <c r="H131" s="28"/>
      <c r="I131" s="28"/>
      <c r="J131" s="28">
        <v>56</v>
      </c>
      <c r="K131" s="28"/>
      <c r="L131" s="28"/>
      <c r="M131" s="28"/>
      <c r="N131" s="28"/>
      <c r="O131" s="28"/>
      <c r="P131" s="48"/>
      <c r="Q131" s="32" t="b">
        <f t="shared" si="664"/>
        <v>0</v>
      </c>
      <c r="R131" s="9">
        <f t="shared" ref="R131" si="1226">IF($Q131=TRUE,G131*$D$1,0)</f>
        <v>0</v>
      </c>
      <c r="S131" s="9">
        <f t="shared" ref="S131" si="1227">IF($Q131=TRUE,H131*$D$1,0)</f>
        <v>0</v>
      </c>
      <c r="T131" s="9">
        <f t="shared" ref="T131" si="1228">IF($Q131=TRUE,I131*$D$1,0)</f>
        <v>0</v>
      </c>
      <c r="U131" s="9">
        <f t="shared" ref="U131" si="1229">IF($Q131=TRUE,J131*$D$1,0)</f>
        <v>0</v>
      </c>
      <c r="V131" s="9">
        <f t="shared" ref="V131" si="1230">IF($Q131=TRUE,K131*$D$1,0)</f>
        <v>0</v>
      </c>
      <c r="W131" s="9">
        <f t="shared" ref="W131" si="1231">IF($Q131=TRUE,L131*$D$1,0)</f>
        <v>0</v>
      </c>
      <c r="X131" s="9">
        <f t="shared" ref="X131" si="1232">IF($Q131=TRUE,M131*$D$1,0)</f>
        <v>0</v>
      </c>
      <c r="Y131" s="9">
        <f t="shared" ref="Y131" si="1233">IF($Q131=TRUE,N131*$D$1,0)</f>
        <v>0</v>
      </c>
      <c r="Z131" s="9">
        <f t="shared" ref="Z131" si="1234">IF($Q131=TRUE,O131*$D$1,0)</f>
        <v>0</v>
      </c>
      <c r="AA131" s="9">
        <f t="shared" ref="AA131" si="1235">IF($Q131=TRUE,P131*$D$1,0)</f>
        <v>0</v>
      </c>
    </row>
    <row r="132" spans="1:27" x14ac:dyDescent="0.2">
      <c r="A132" s="77"/>
      <c r="B132" s="10" t="s">
        <v>28</v>
      </c>
      <c r="C132" s="11" t="s">
        <v>126</v>
      </c>
      <c r="D132" s="12"/>
      <c r="E132" s="25"/>
      <c r="F132" s="25" t="b">
        <v>0</v>
      </c>
      <c r="G132" s="28"/>
      <c r="H132" s="28"/>
      <c r="I132" s="28"/>
      <c r="J132" s="28">
        <v>94</v>
      </c>
      <c r="K132" s="28"/>
      <c r="L132" s="28"/>
      <c r="M132" s="28"/>
      <c r="N132" s="28"/>
      <c r="O132" s="28"/>
      <c r="P132" s="48"/>
      <c r="Q132" s="33" t="b">
        <f t="shared" si="675"/>
        <v>0</v>
      </c>
      <c r="R132" s="9">
        <f t="shared" ref="R132" si="1236">IF($Q132=TRUE,G132*$D$2,0)</f>
        <v>0</v>
      </c>
      <c r="S132" s="9">
        <f t="shared" ref="S132" si="1237">IF($Q132=TRUE,H132*$D$2,0)</f>
        <v>0</v>
      </c>
      <c r="T132" s="9">
        <f t="shared" ref="T132" si="1238">IF($Q132=TRUE,I132*$D$2,0)</f>
        <v>0</v>
      </c>
      <c r="U132" s="9">
        <f t="shared" ref="U132" si="1239">IF($Q132=TRUE,J132*$D$2,0)</f>
        <v>0</v>
      </c>
      <c r="V132" s="9">
        <f t="shared" ref="V132" si="1240">IF($Q132=TRUE,K132*$D$2,0)</f>
        <v>0</v>
      </c>
      <c r="W132" s="9">
        <f t="shared" ref="W132" si="1241">IF($Q132=TRUE,L132*$D$2,0)</f>
        <v>0</v>
      </c>
      <c r="X132" s="9">
        <f t="shared" ref="X132" si="1242">IF($Q132=TRUE,M132*$D$2,0)</f>
        <v>0</v>
      </c>
      <c r="Y132" s="9">
        <f t="shared" ref="Y132" si="1243">IF($Q132=TRUE,N132*$D$2,0)</f>
        <v>0</v>
      </c>
      <c r="Z132" s="9">
        <f t="shared" ref="Z132" si="1244">IF($Q132=TRUE,O132*$D$2,0)</f>
        <v>0</v>
      </c>
      <c r="AA132" s="9">
        <f t="shared" ref="AA132" si="1245">IF($Q132=TRUE,P132*$D$2,0)</f>
        <v>0</v>
      </c>
    </row>
    <row r="133" spans="1:27" x14ac:dyDescent="0.2">
      <c r="A133" s="77"/>
      <c r="B133" s="6" t="s">
        <v>23</v>
      </c>
      <c r="C133" s="7" t="s">
        <v>127</v>
      </c>
      <c r="D133" s="8"/>
      <c r="E133" s="8"/>
      <c r="F133" s="8" t="b">
        <v>0</v>
      </c>
      <c r="G133" s="28">
        <v>50</v>
      </c>
      <c r="H133" s="28"/>
      <c r="I133" s="28"/>
      <c r="J133" s="28"/>
      <c r="K133" s="28"/>
      <c r="L133" s="28"/>
      <c r="M133" s="28"/>
      <c r="N133" s="28"/>
      <c r="O133" s="28"/>
      <c r="P133" s="48"/>
      <c r="Q133" s="32" t="b">
        <f t="shared" si="664"/>
        <v>0</v>
      </c>
      <c r="R133" s="9">
        <f t="shared" ref="R133" si="1246">IF($Q133=TRUE,G133*$D$1,0)</f>
        <v>0</v>
      </c>
      <c r="S133" s="9">
        <f t="shared" ref="S133" si="1247">IF($Q133=TRUE,H133*$D$1,0)</f>
        <v>0</v>
      </c>
      <c r="T133" s="9">
        <f t="shared" ref="T133" si="1248">IF($Q133=TRUE,I133*$D$1,0)</f>
        <v>0</v>
      </c>
      <c r="U133" s="9">
        <f t="shared" ref="U133" si="1249">IF($Q133=TRUE,J133*$D$1,0)</f>
        <v>0</v>
      </c>
      <c r="V133" s="9">
        <f t="shared" ref="V133" si="1250">IF($Q133=TRUE,K133*$D$1,0)</f>
        <v>0</v>
      </c>
      <c r="W133" s="9">
        <f t="shared" ref="W133" si="1251">IF($Q133=TRUE,L133*$D$1,0)</f>
        <v>0</v>
      </c>
      <c r="X133" s="9">
        <f t="shared" ref="X133" si="1252">IF($Q133=TRUE,M133*$D$1,0)</f>
        <v>0</v>
      </c>
      <c r="Y133" s="9">
        <f t="shared" ref="Y133" si="1253">IF($Q133=TRUE,N133*$D$1,0)</f>
        <v>0</v>
      </c>
      <c r="Z133" s="9">
        <f t="shared" ref="Z133" si="1254">IF($Q133=TRUE,O133*$D$1,0)</f>
        <v>0</v>
      </c>
      <c r="AA133" s="9">
        <f t="shared" ref="AA133" si="1255">IF($Q133=TRUE,P133*$D$1,0)</f>
        <v>0</v>
      </c>
    </row>
    <row r="134" spans="1:27" x14ac:dyDescent="0.2">
      <c r="A134" s="77"/>
      <c r="B134" s="10" t="s">
        <v>28</v>
      </c>
      <c r="C134" s="11" t="s">
        <v>127</v>
      </c>
      <c r="D134" s="12"/>
      <c r="E134" s="25"/>
      <c r="F134" s="25" t="b">
        <v>0</v>
      </c>
      <c r="G134" s="28">
        <v>75</v>
      </c>
      <c r="H134" s="28"/>
      <c r="I134" s="28"/>
      <c r="J134" s="28">
        <v>180</v>
      </c>
      <c r="K134" s="28"/>
      <c r="L134" s="28"/>
      <c r="M134" s="28"/>
      <c r="N134" s="28"/>
      <c r="O134" s="28"/>
      <c r="P134" s="48"/>
      <c r="Q134" s="33" t="b">
        <f t="shared" si="675"/>
        <v>0</v>
      </c>
      <c r="R134" s="9">
        <f t="shared" ref="R134" si="1256">IF($Q134=TRUE,G134*$D$2,0)</f>
        <v>0</v>
      </c>
      <c r="S134" s="9">
        <f t="shared" ref="S134" si="1257">IF($Q134=TRUE,H134*$D$2,0)</f>
        <v>0</v>
      </c>
      <c r="T134" s="9">
        <f t="shared" ref="T134" si="1258">IF($Q134=TRUE,I134*$D$2,0)</f>
        <v>0</v>
      </c>
      <c r="U134" s="9">
        <f t="shared" ref="U134" si="1259">IF($Q134=TRUE,J134*$D$2,0)</f>
        <v>0</v>
      </c>
      <c r="V134" s="9">
        <f t="shared" ref="V134" si="1260">IF($Q134=TRUE,K134*$D$2,0)</f>
        <v>0</v>
      </c>
      <c r="W134" s="9">
        <f t="shared" ref="W134" si="1261">IF($Q134=TRUE,L134*$D$2,0)</f>
        <v>0</v>
      </c>
      <c r="X134" s="9">
        <f t="shared" ref="X134" si="1262">IF($Q134=TRUE,M134*$D$2,0)</f>
        <v>0</v>
      </c>
      <c r="Y134" s="9">
        <f t="shared" ref="Y134" si="1263">IF($Q134=TRUE,N134*$D$2,0)</f>
        <v>0</v>
      </c>
      <c r="Z134" s="9">
        <f t="shared" ref="Z134" si="1264">IF($Q134=TRUE,O134*$D$2,0)</f>
        <v>0</v>
      </c>
      <c r="AA134" s="9">
        <f t="shared" ref="AA134" si="1265">IF($Q134=TRUE,P134*$D$2,0)</f>
        <v>0</v>
      </c>
    </row>
    <row r="135" spans="1:27" x14ac:dyDescent="0.2">
      <c r="A135" s="77"/>
      <c r="B135" s="6" t="s">
        <v>23</v>
      </c>
      <c r="C135" s="7" t="s">
        <v>128</v>
      </c>
      <c r="D135" s="8"/>
      <c r="E135" s="8"/>
      <c r="F135" s="8" t="b">
        <v>0</v>
      </c>
      <c r="G135" s="28"/>
      <c r="H135" s="28"/>
      <c r="I135" s="28"/>
      <c r="J135" s="28"/>
      <c r="K135" s="28"/>
      <c r="L135" s="28"/>
      <c r="M135" s="28"/>
      <c r="N135" s="28"/>
      <c r="O135" s="28"/>
      <c r="P135" s="48"/>
      <c r="Q135" s="32" t="b">
        <f t="shared" si="664"/>
        <v>0</v>
      </c>
      <c r="R135" s="9">
        <f t="shared" ref="R135" si="1266">IF($Q135=TRUE,G135*$D$1,0)</f>
        <v>0</v>
      </c>
      <c r="S135" s="9">
        <f t="shared" ref="S135" si="1267">IF($Q135=TRUE,H135*$D$1,0)</f>
        <v>0</v>
      </c>
      <c r="T135" s="9">
        <f t="shared" ref="T135" si="1268">IF($Q135=TRUE,I135*$D$1,0)</f>
        <v>0</v>
      </c>
      <c r="U135" s="9">
        <f t="shared" ref="U135" si="1269">IF($Q135=TRUE,J135*$D$1,0)</f>
        <v>0</v>
      </c>
      <c r="V135" s="9">
        <f t="shared" ref="V135" si="1270">IF($Q135=TRUE,K135*$D$1,0)</f>
        <v>0</v>
      </c>
      <c r="W135" s="9">
        <f t="shared" ref="W135" si="1271">IF($Q135=TRUE,L135*$D$1,0)</f>
        <v>0</v>
      </c>
      <c r="X135" s="9">
        <f t="shared" ref="X135" si="1272">IF($Q135=TRUE,M135*$D$1,0)</f>
        <v>0</v>
      </c>
      <c r="Y135" s="9">
        <f t="shared" ref="Y135" si="1273">IF($Q135=TRUE,N135*$D$1,0)</f>
        <v>0</v>
      </c>
      <c r="Z135" s="9">
        <f t="shared" ref="Z135" si="1274">IF($Q135=TRUE,O135*$D$1,0)</f>
        <v>0</v>
      </c>
      <c r="AA135" s="9">
        <f t="shared" ref="AA135" si="1275">IF($Q135=TRUE,P135*$D$1,0)</f>
        <v>0</v>
      </c>
    </row>
    <row r="136" spans="1:27" x14ac:dyDescent="0.2">
      <c r="A136" s="77"/>
      <c r="B136" s="10" t="s">
        <v>28</v>
      </c>
      <c r="C136" s="11" t="s">
        <v>128</v>
      </c>
      <c r="D136" s="12"/>
      <c r="E136" s="25"/>
      <c r="F136" s="25" t="b">
        <v>0</v>
      </c>
      <c r="G136" s="28"/>
      <c r="H136" s="28"/>
      <c r="I136" s="28"/>
      <c r="J136" s="28">
        <v>180</v>
      </c>
      <c r="K136" s="28"/>
      <c r="L136" s="28"/>
      <c r="M136" s="28"/>
      <c r="N136" s="28"/>
      <c r="O136" s="28"/>
      <c r="P136" s="48"/>
      <c r="Q136" s="33" t="b">
        <f t="shared" si="675"/>
        <v>0</v>
      </c>
      <c r="R136" s="9">
        <f t="shared" ref="R136" si="1276">IF($Q136=TRUE,G136*$D$2,0)</f>
        <v>0</v>
      </c>
      <c r="S136" s="9">
        <f t="shared" ref="S136" si="1277">IF($Q136=TRUE,H136*$D$2,0)</f>
        <v>0</v>
      </c>
      <c r="T136" s="9">
        <f t="shared" ref="T136" si="1278">IF($Q136=TRUE,I136*$D$2,0)</f>
        <v>0</v>
      </c>
      <c r="U136" s="9">
        <f t="shared" ref="U136" si="1279">IF($Q136=TRUE,J136*$D$2,0)</f>
        <v>0</v>
      </c>
      <c r="V136" s="9">
        <f t="shared" ref="V136" si="1280">IF($Q136=TRUE,K136*$D$2,0)</f>
        <v>0</v>
      </c>
      <c r="W136" s="9">
        <f t="shared" ref="W136" si="1281">IF($Q136=TRUE,L136*$D$2,0)</f>
        <v>0</v>
      </c>
      <c r="X136" s="9">
        <f t="shared" ref="X136" si="1282">IF($Q136=TRUE,M136*$D$2,0)</f>
        <v>0</v>
      </c>
      <c r="Y136" s="9">
        <f t="shared" ref="Y136" si="1283">IF($Q136=TRUE,N136*$D$2,0)</f>
        <v>0</v>
      </c>
      <c r="Z136" s="9">
        <f t="shared" ref="Z136" si="1284">IF($Q136=TRUE,O136*$D$2,0)</f>
        <v>0</v>
      </c>
      <c r="AA136" s="9">
        <f t="shared" ref="AA136" si="1285">IF($Q136=TRUE,P136*$D$2,0)</f>
        <v>0</v>
      </c>
    </row>
    <row r="137" spans="1:27" x14ac:dyDescent="0.2">
      <c r="A137" s="77"/>
      <c r="B137" s="6" t="s">
        <v>23</v>
      </c>
      <c r="C137" s="7" t="s">
        <v>129</v>
      </c>
      <c r="D137" s="8"/>
      <c r="E137" s="8"/>
      <c r="F137" s="8" t="b">
        <v>0</v>
      </c>
      <c r="G137" s="28"/>
      <c r="H137" s="28"/>
      <c r="I137" s="28"/>
      <c r="J137" s="28"/>
      <c r="K137" s="28"/>
      <c r="L137" s="28"/>
      <c r="M137" s="28"/>
      <c r="N137" s="28"/>
      <c r="O137" s="28"/>
      <c r="P137" s="48"/>
      <c r="Q137" s="32" t="b">
        <f t="shared" si="664"/>
        <v>0</v>
      </c>
      <c r="R137" s="9">
        <f t="shared" ref="R137" si="1286">IF($Q137=TRUE,G137*$D$1,0)</f>
        <v>0</v>
      </c>
      <c r="S137" s="9">
        <f t="shared" ref="S137" si="1287">IF($Q137=TRUE,H137*$D$1,0)</f>
        <v>0</v>
      </c>
      <c r="T137" s="9">
        <f t="shared" ref="T137" si="1288">IF($Q137=TRUE,I137*$D$1,0)</f>
        <v>0</v>
      </c>
      <c r="U137" s="9">
        <f t="shared" ref="U137" si="1289">IF($Q137=TRUE,J137*$D$1,0)</f>
        <v>0</v>
      </c>
      <c r="V137" s="9">
        <f t="shared" ref="V137" si="1290">IF($Q137=TRUE,K137*$D$1,0)</f>
        <v>0</v>
      </c>
      <c r="W137" s="9">
        <f t="shared" ref="W137" si="1291">IF($Q137=TRUE,L137*$D$1,0)</f>
        <v>0</v>
      </c>
      <c r="X137" s="9">
        <f t="shared" ref="X137" si="1292">IF($Q137=TRUE,M137*$D$1,0)</f>
        <v>0</v>
      </c>
      <c r="Y137" s="9">
        <f t="shared" ref="Y137" si="1293">IF($Q137=TRUE,N137*$D$1,0)</f>
        <v>0</v>
      </c>
      <c r="Z137" s="9">
        <f t="shared" ref="Z137" si="1294">IF($Q137=TRUE,O137*$D$1,0)</f>
        <v>0</v>
      </c>
      <c r="AA137" s="9">
        <f t="shared" ref="AA137" si="1295">IF($Q137=TRUE,P137*$D$1,0)</f>
        <v>0</v>
      </c>
    </row>
    <row r="138" spans="1:27" x14ac:dyDescent="0.2">
      <c r="A138" s="77"/>
      <c r="B138" s="10" t="s">
        <v>28</v>
      </c>
      <c r="C138" s="11" t="s">
        <v>129</v>
      </c>
      <c r="D138" s="12"/>
      <c r="E138" s="25"/>
      <c r="F138" s="25" t="b">
        <v>0</v>
      </c>
      <c r="G138" s="28"/>
      <c r="H138" s="28"/>
      <c r="I138" s="28"/>
      <c r="J138" s="28">
        <v>124</v>
      </c>
      <c r="K138" s="28"/>
      <c r="L138" s="28"/>
      <c r="M138" s="28"/>
      <c r="N138" s="28"/>
      <c r="O138" s="28"/>
      <c r="P138" s="48"/>
      <c r="Q138" s="33" t="b">
        <f t="shared" si="675"/>
        <v>0</v>
      </c>
      <c r="R138" s="9">
        <f t="shared" ref="R138" si="1296">IF($Q138=TRUE,G138*$D$2,0)</f>
        <v>0</v>
      </c>
      <c r="S138" s="9">
        <f t="shared" ref="S138" si="1297">IF($Q138=TRUE,H138*$D$2,0)</f>
        <v>0</v>
      </c>
      <c r="T138" s="9">
        <f t="shared" ref="T138" si="1298">IF($Q138=TRUE,I138*$D$2,0)</f>
        <v>0</v>
      </c>
      <c r="U138" s="9">
        <f t="shared" ref="U138" si="1299">IF($Q138=TRUE,J138*$D$2,0)</f>
        <v>0</v>
      </c>
      <c r="V138" s="9">
        <f t="shared" ref="V138" si="1300">IF($Q138=TRUE,K138*$D$2,0)</f>
        <v>0</v>
      </c>
      <c r="W138" s="9">
        <f t="shared" ref="W138" si="1301">IF($Q138=TRUE,L138*$D$2,0)</f>
        <v>0</v>
      </c>
      <c r="X138" s="9">
        <f t="shared" ref="X138" si="1302">IF($Q138=TRUE,M138*$D$2,0)</f>
        <v>0</v>
      </c>
      <c r="Y138" s="9">
        <f t="shared" ref="Y138" si="1303">IF($Q138=TRUE,N138*$D$2,0)</f>
        <v>0</v>
      </c>
      <c r="Z138" s="9">
        <f t="shared" ref="Z138" si="1304">IF($Q138=TRUE,O138*$D$2,0)</f>
        <v>0</v>
      </c>
      <c r="AA138" s="9">
        <f t="shared" ref="AA138" si="1305">IF($Q138=TRUE,P138*$D$2,0)</f>
        <v>0</v>
      </c>
    </row>
    <row r="139" spans="1:27" x14ac:dyDescent="0.2">
      <c r="A139" s="77"/>
      <c r="B139" s="6" t="s">
        <v>23</v>
      </c>
      <c r="C139" s="7" t="s">
        <v>130</v>
      </c>
      <c r="D139" s="8"/>
      <c r="E139" s="8"/>
      <c r="F139" s="8" t="b">
        <v>0</v>
      </c>
      <c r="G139" s="28"/>
      <c r="H139" s="28"/>
      <c r="I139" s="28"/>
      <c r="J139" s="28"/>
      <c r="K139" s="28"/>
      <c r="L139" s="28"/>
      <c r="M139" s="28"/>
      <c r="N139" s="28"/>
      <c r="O139" s="28"/>
      <c r="P139" s="48"/>
      <c r="Q139" s="32" t="b">
        <f t="shared" ref="Q139:Q201" si="1306">AND($D$1&gt;0,F139=TRUE)</f>
        <v>0</v>
      </c>
      <c r="R139" s="9">
        <f t="shared" ref="R139" si="1307">IF($Q139=TRUE,G139*$D$1,0)</f>
        <v>0</v>
      </c>
      <c r="S139" s="9">
        <f t="shared" ref="S139" si="1308">IF($Q139=TRUE,H139*$D$1,0)</f>
        <v>0</v>
      </c>
      <c r="T139" s="9">
        <f t="shared" ref="T139" si="1309">IF($Q139=TRUE,I139*$D$1,0)</f>
        <v>0</v>
      </c>
      <c r="U139" s="9">
        <f t="shared" ref="U139" si="1310">IF($Q139=TRUE,J139*$D$1,0)</f>
        <v>0</v>
      </c>
      <c r="V139" s="9">
        <f t="shared" ref="V139" si="1311">IF($Q139=TRUE,K139*$D$1,0)</f>
        <v>0</v>
      </c>
      <c r="W139" s="9">
        <f t="shared" ref="W139" si="1312">IF($Q139=TRUE,L139*$D$1,0)</f>
        <v>0</v>
      </c>
      <c r="X139" s="9">
        <f t="shared" ref="X139" si="1313">IF($Q139=TRUE,M139*$D$1,0)</f>
        <v>0</v>
      </c>
      <c r="Y139" s="9">
        <f t="shared" ref="Y139" si="1314">IF($Q139=TRUE,N139*$D$1,0)</f>
        <v>0</v>
      </c>
      <c r="Z139" s="9">
        <f t="shared" ref="Z139" si="1315">IF($Q139=TRUE,O139*$D$1,0)</f>
        <v>0</v>
      </c>
      <c r="AA139" s="9">
        <f t="shared" ref="AA139" si="1316">IF($Q139=TRUE,P139*$D$1,0)</f>
        <v>0</v>
      </c>
    </row>
    <row r="140" spans="1:27" x14ac:dyDescent="0.2">
      <c r="A140" s="77"/>
      <c r="B140" s="10" t="s">
        <v>28</v>
      </c>
      <c r="C140" s="11" t="s">
        <v>130</v>
      </c>
      <c r="D140" s="12"/>
      <c r="E140" s="25"/>
      <c r="F140" s="25" t="b">
        <v>0</v>
      </c>
      <c r="G140" s="28"/>
      <c r="H140" s="28"/>
      <c r="I140" s="28"/>
      <c r="J140" s="28">
        <v>124</v>
      </c>
      <c r="K140" s="28"/>
      <c r="L140" s="28"/>
      <c r="M140" s="28"/>
      <c r="N140" s="28"/>
      <c r="O140" s="28"/>
      <c r="P140" s="48"/>
      <c r="Q140" s="33" t="b">
        <f t="shared" ref="Q140:Q202" si="1317">AND($D$2&gt;0,F140=TRUE)</f>
        <v>0</v>
      </c>
      <c r="R140" s="9">
        <f t="shared" ref="R140" si="1318">IF($Q140=TRUE,G140*$D$2,0)</f>
        <v>0</v>
      </c>
      <c r="S140" s="9">
        <f t="shared" ref="S140" si="1319">IF($Q140=TRUE,H140*$D$2,0)</f>
        <v>0</v>
      </c>
      <c r="T140" s="9">
        <f t="shared" ref="T140" si="1320">IF($Q140=TRUE,I140*$D$2,0)</f>
        <v>0</v>
      </c>
      <c r="U140" s="9">
        <f t="shared" ref="U140" si="1321">IF($Q140=TRUE,J140*$D$2,0)</f>
        <v>0</v>
      </c>
      <c r="V140" s="9">
        <f t="shared" ref="V140" si="1322">IF($Q140=TRUE,K140*$D$2,0)</f>
        <v>0</v>
      </c>
      <c r="W140" s="9">
        <f t="shared" ref="W140" si="1323">IF($Q140=TRUE,L140*$D$2,0)</f>
        <v>0</v>
      </c>
      <c r="X140" s="9">
        <f t="shared" ref="X140" si="1324">IF($Q140=TRUE,M140*$D$2,0)</f>
        <v>0</v>
      </c>
      <c r="Y140" s="9">
        <f t="shared" ref="Y140" si="1325">IF($Q140=TRUE,N140*$D$2,0)</f>
        <v>0</v>
      </c>
      <c r="Z140" s="9">
        <f t="shared" ref="Z140" si="1326">IF($Q140=TRUE,O140*$D$2,0)</f>
        <v>0</v>
      </c>
      <c r="AA140" s="9">
        <f t="shared" ref="AA140" si="1327">IF($Q140=TRUE,P140*$D$2,0)</f>
        <v>0</v>
      </c>
    </row>
    <row r="141" spans="1:27" x14ac:dyDescent="0.2">
      <c r="A141" s="77"/>
      <c r="B141" s="6" t="s">
        <v>23</v>
      </c>
      <c r="C141" s="7" t="s">
        <v>131</v>
      </c>
      <c r="D141" s="8"/>
      <c r="E141" s="8"/>
      <c r="F141" s="8" t="b">
        <v>0</v>
      </c>
      <c r="G141" s="28"/>
      <c r="H141" s="28"/>
      <c r="I141" s="28"/>
      <c r="J141" s="28"/>
      <c r="K141" s="28">
        <v>72</v>
      </c>
      <c r="L141" s="28"/>
      <c r="M141" s="28"/>
      <c r="N141" s="28"/>
      <c r="O141" s="28"/>
      <c r="P141" s="48"/>
      <c r="Q141" s="32" t="b">
        <f t="shared" si="1306"/>
        <v>0</v>
      </c>
      <c r="R141" s="9">
        <f t="shared" ref="R141" si="1328">IF($Q141=TRUE,G141*$D$1,0)</f>
        <v>0</v>
      </c>
      <c r="S141" s="9">
        <f t="shared" ref="S141" si="1329">IF($Q141=TRUE,H141*$D$1,0)</f>
        <v>0</v>
      </c>
      <c r="T141" s="9">
        <f t="shared" ref="T141" si="1330">IF($Q141=TRUE,I141*$D$1,0)</f>
        <v>0</v>
      </c>
      <c r="U141" s="9">
        <f t="shared" ref="U141" si="1331">IF($Q141=TRUE,J141*$D$1,0)</f>
        <v>0</v>
      </c>
      <c r="V141" s="9">
        <f t="shared" ref="V141" si="1332">IF($Q141=TRUE,K141*$D$1,0)</f>
        <v>0</v>
      </c>
      <c r="W141" s="9">
        <f t="shared" ref="W141" si="1333">IF($Q141=TRUE,L141*$D$1,0)</f>
        <v>0</v>
      </c>
      <c r="X141" s="9">
        <f t="shared" ref="X141" si="1334">IF($Q141=TRUE,M141*$D$1,0)</f>
        <v>0</v>
      </c>
      <c r="Y141" s="9">
        <f t="shared" ref="Y141" si="1335">IF($Q141=TRUE,N141*$D$1,0)</f>
        <v>0</v>
      </c>
      <c r="Z141" s="9">
        <f t="shared" ref="Z141" si="1336">IF($Q141=TRUE,O141*$D$1,0)</f>
        <v>0</v>
      </c>
      <c r="AA141" s="9">
        <f t="shared" ref="AA141" si="1337">IF($Q141=TRUE,P141*$D$1,0)</f>
        <v>0</v>
      </c>
    </row>
    <row r="142" spans="1:27" x14ac:dyDescent="0.2">
      <c r="A142" s="77"/>
      <c r="B142" s="10" t="s">
        <v>28</v>
      </c>
      <c r="C142" s="11" t="s">
        <v>131</v>
      </c>
      <c r="D142" s="12"/>
      <c r="E142" s="25"/>
      <c r="F142" s="25" t="b">
        <v>0</v>
      </c>
      <c r="G142" s="28"/>
      <c r="H142" s="28"/>
      <c r="I142" s="28"/>
      <c r="J142" s="28"/>
      <c r="K142" s="28">
        <v>72</v>
      </c>
      <c r="L142" s="28"/>
      <c r="M142" s="28"/>
      <c r="N142" s="28"/>
      <c r="O142" s="28"/>
      <c r="P142" s="48"/>
      <c r="Q142" s="33" t="b">
        <f t="shared" si="1317"/>
        <v>0</v>
      </c>
      <c r="R142" s="9">
        <f t="shared" ref="R142" si="1338">IF($Q142=TRUE,G142*$D$2,0)</f>
        <v>0</v>
      </c>
      <c r="S142" s="9">
        <f t="shared" ref="S142" si="1339">IF($Q142=TRUE,H142*$D$2,0)</f>
        <v>0</v>
      </c>
      <c r="T142" s="9">
        <f t="shared" ref="T142" si="1340">IF($Q142=TRUE,I142*$D$2,0)</f>
        <v>0</v>
      </c>
      <c r="U142" s="9">
        <f t="shared" ref="U142" si="1341">IF($Q142=TRUE,J142*$D$2,0)</f>
        <v>0</v>
      </c>
      <c r="V142" s="9">
        <f t="shared" ref="V142" si="1342">IF($Q142=TRUE,K142*$D$2,0)</f>
        <v>0</v>
      </c>
      <c r="W142" s="9">
        <f t="shared" ref="W142" si="1343">IF($Q142=TRUE,L142*$D$2,0)</f>
        <v>0</v>
      </c>
      <c r="X142" s="9">
        <f t="shared" ref="X142" si="1344">IF($Q142=TRUE,M142*$D$2,0)</f>
        <v>0</v>
      </c>
      <c r="Y142" s="9">
        <f t="shared" ref="Y142" si="1345">IF($Q142=TRUE,N142*$D$2,0)</f>
        <v>0</v>
      </c>
      <c r="Z142" s="9">
        <f t="shared" ref="Z142" si="1346">IF($Q142=TRUE,O142*$D$2,0)</f>
        <v>0</v>
      </c>
      <c r="AA142" s="9">
        <f t="shared" ref="AA142" si="1347">IF($Q142=TRUE,P142*$D$2,0)</f>
        <v>0</v>
      </c>
    </row>
    <row r="143" spans="1:27" x14ac:dyDescent="0.2">
      <c r="A143" s="77"/>
      <c r="B143" s="6" t="s">
        <v>23</v>
      </c>
      <c r="C143" s="7" t="s">
        <v>132</v>
      </c>
      <c r="D143" s="8"/>
      <c r="E143" s="8"/>
      <c r="F143" s="8" t="b">
        <v>0</v>
      </c>
      <c r="G143" s="28"/>
      <c r="H143" s="28"/>
      <c r="I143" s="28"/>
      <c r="J143" s="28"/>
      <c r="K143" s="28">
        <v>48</v>
      </c>
      <c r="L143" s="28"/>
      <c r="M143" s="28"/>
      <c r="N143" s="28"/>
      <c r="O143" s="28"/>
      <c r="P143" s="48"/>
      <c r="Q143" s="32" t="b">
        <f t="shared" si="1306"/>
        <v>0</v>
      </c>
      <c r="R143" s="9">
        <f t="shared" ref="R143" si="1348">IF($Q143=TRUE,G143*$D$1,0)</f>
        <v>0</v>
      </c>
      <c r="S143" s="9">
        <f t="shared" ref="S143" si="1349">IF($Q143=TRUE,H143*$D$1,0)</f>
        <v>0</v>
      </c>
      <c r="T143" s="9">
        <f t="shared" ref="T143" si="1350">IF($Q143=TRUE,I143*$D$1,0)</f>
        <v>0</v>
      </c>
      <c r="U143" s="9">
        <f t="shared" ref="U143" si="1351">IF($Q143=TRUE,J143*$D$1,0)</f>
        <v>0</v>
      </c>
      <c r="V143" s="9">
        <f t="shared" ref="V143" si="1352">IF($Q143=TRUE,K143*$D$1,0)</f>
        <v>0</v>
      </c>
      <c r="W143" s="9">
        <f t="shared" ref="W143" si="1353">IF($Q143=TRUE,L143*$D$1,0)</f>
        <v>0</v>
      </c>
      <c r="X143" s="9">
        <f t="shared" ref="X143" si="1354">IF($Q143=TRUE,M143*$D$1,0)</f>
        <v>0</v>
      </c>
      <c r="Y143" s="9">
        <f t="shared" ref="Y143" si="1355">IF($Q143=TRUE,N143*$D$1,0)</f>
        <v>0</v>
      </c>
      <c r="Z143" s="9">
        <f t="shared" ref="Z143" si="1356">IF($Q143=TRUE,O143*$D$1,0)</f>
        <v>0</v>
      </c>
      <c r="AA143" s="9">
        <f t="shared" ref="AA143" si="1357">IF($Q143=TRUE,P143*$D$1,0)</f>
        <v>0</v>
      </c>
    </row>
    <row r="144" spans="1:27" x14ac:dyDescent="0.2">
      <c r="A144" s="77"/>
      <c r="B144" s="10" t="s">
        <v>28</v>
      </c>
      <c r="C144" s="11" t="s">
        <v>132</v>
      </c>
      <c r="D144" s="12"/>
      <c r="E144" s="25"/>
      <c r="F144" s="25" t="b">
        <v>0</v>
      </c>
      <c r="G144" s="28"/>
      <c r="H144" s="28"/>
      <c r="I144" s="28"/>
      <c r="J144" s="28"/>
      <c r="K144" s="28">
        <v>48</v>
      </c>
      <c r="L144" s="28"/>
      <c r="M144" s="28"/>
      <c r="N144" s="28"/>
      <c r="O144" s="28"/>
      <c r="P144" s="48"/>
      <c r="Q144" s="33" t="b">
        <f t="shared" si="1317"/>
        <v>0</v>
      </c>
      <c r="R144" s="9">
        <f t="shared" ref="R144" si="1358">IF($Q144=TRUE,G144*$D$2,0)</f>
        <v>0</v>
      </c>
      <c r="S144" s="9">
        <f t="shared" ref="S144" si="1359">IF($Q144=TRUE,H144*$D$2,0)</f>
        <v>0</v>
      </c>
      <c r="T144" s="9">
        <f t="shared" ref="T144" si="1360">IF($Q144=TRUE,I144*$D$2,0)</f>
        <v>0</v>
      </c>
      <c r="U144" s="9">
        <f t="shared" ref="U144" si="1361">IF($Q144=TRUE,J144*$D$2,0)</f>
        <v>0</v>
      </c>
      <c r="V144" s="9">
        <f t="shared" ref="V144" si="1362">IF($Q144=TRUE,K144*$D$2,0)</f>
        <v>0</v>
      </c>
      <c r="W144" s="9">
        <f t="shared" ref="W144" si="1363">IF($Q144=TRUE,L144*$D$2,0)</f>
        <v>0</v>
      </c>
      <c r="X144" s="9">
        <f t="shared" ref="X144" si="1364">IF($Q144=TRUE,M144*$D$2,0)</f>
        <v>0</v>
      </c>
      <c r="Y144" s="9">
        <f t="shared" ref="Y144" si="1365">IF($Q144=TRUE,N144*$D$2,0)</f>
        <v>0</v>
      </c>
      <c r="Z144" s="9">
        <f t="shared" ref="Z144" si="1366">IF($Q144=TRUE,O144*$D$2,0)</f>
        <v>0</v>
      </c>
      <c r="AA144" s="9">
        <f t="shared" ref="AA144" si="1367">IF($Q144=TRUE,P144*$D$2,0)</f>
        <v>0</v>
      </c>
    </row>
    <row r="145" spans="1:27" x14ac:dyDescent="0.2">
      <c r="A145" s="77"/>
      <c r="B145" s="6" t="s">
        <v>23</v>
      </c>
      <c r="C145" s="7" t="s">
        <v>133</v>
      </c>
      <c r="D145" s="8"/>
      <c r="E145" s="8"/>
      <c r="F145" s="8" t="b">
        <v>0</v>
      </c>
      <c r="G145" s="28"/>
      <c r="H145" s="28"/>
      <c r="I145" s="28"/>
      <c r="J145" s="28"/>
      <c r="K145" s="28">
        <v>72</v>
      </c>
      <c r="L145" s="28"/>
      <c r="M145" s="28"/>
      <c r="N145" s="28"/>
      <c r="O145" s="28"/>
      <c r="P145" s="48"/>
      <c r="Q145" s="32" t="b">
        <f t="shared" si="1306"/>
        <v>0</v>
      </c>
      <c r="R145" s="9">
        <f t="shared" ref="R145" si="1368">IF($Q145=TRUE,G145*$D$1,0)</f>
        <v>0</v>
      </c>
      <c r="S145" s="9">
        <f t="shared" ref="S145" si="1369">IF($Q145=TRUE,H145*$D$1,0)</f>
        <v>0</v>
      </c>
      <c r="T145" s="9">
        <f t="shared" ref="T145" si="1370">IF($Q145=TRUE,I145*$D$1,0)</f>
        <v>0</v>
      </c>
      <c r="U145" s="9">
        <f t="shared" ref="U145" si="1371">IF($Q145=TRUE,J145*$D$1,0)</f>
        <v>0</v>
      </c>
      <c r="V145" s="9">
        <f t="shared" ref="V145" si="1372">IF($Q145=TRUE,K145*$D$1,0)</f>
        <v>0</v>
      </c>
      <c r="W145" s="9">
        <f t="shared" ref="W145" si="1373">IF($Q145=TRUE,L145*$D$1,0)</f>
        <v>0</v>
      </c>
      <c r="X145" s="9">
        <f t="shared" ref="X145" si="1374">IF($Q145=TRUE,M145*$D$1,0)</f>
        <v>0</v>
      </c>
      <c r="Y145" s="9">
        <f t="shared" ref="Y145" si="1375">IF($Q145=TRUE,N145*$D$1,0)</f>
        <v>0</v>
      </c>
      <c r="Z145" s="9">
        <f t="shared" ref="Z145" si="1376">IF($Q145=TRUE,O145*$D$1,0)</f>
        <v>0</v>
      </c>
      <c r="AA145" s="9">
        <f t="shared" ref="AA145" si="1377">IF($Q145=TRUE,P145*$D$1,0)</f>
        <v>0</v>
      </c>
    </row>
    <row r="146" spans="1:27" x14ac:dyDescent="0.2">
      <c r="A146" s="77"/>
      <c r="B146" s="10" t="s">
        <v>28</v>
      </c>
      <c r="C146" s="11" t="s">
        <v>133</v>
      </c>
      <c r="D146" s="12"/>
      <c r="E146" s="25"/>
      <c r="F146" s="25" t="b">
        <v>0</v>
      </c>
      <c r="G146" s="28"/>
      <c r="H146" s="28"/>
      <c r="I146" s="28"/>
      <c r="J146" s="28"/>
      <c r="K146" s="28">
        <v>72</v>
      </c>
      <c r="L146" s="28"/>
      <c r="M146" s="28"/>
      <c r="N146" s="28"/>
      <c r="O146" s="28"/>
      <c r="P146" s="48"/>
      <c r="Q146" s="33" t="b">
        <f t="shared" si="1317"/>
        <v>0</v>
      </c>
      <c r="R146" s="9">
        <f t="shared" ref="R146" si="1378">IF($Q146=TRUE,G146*$D$2,0)</f>
        <v>0</v>
      </c>
      <c r="S146" s="9">
        <f t="shared" ref="S146" si="1379">IF($Q146=TRUE,H146*$D$2,0)</f>
        <v>0</v>
      </c>
      <c r="T146" s="9">
        <f t="shared" ref="T146" si="1380">IF($Q146=TRUE,I146*$D$2,0)</f>
        <v>0</v>
      </c>
      <c r="U146" s="9">
        <f t="shared" ref="U146" si="1381">IF($Q146=TRUE,J146*$D$2,0)</f>
        <v>0</v>
      </c>
      <c r="V146" s="9">
        <f t="shared" ref="V146" si="1382">IF($Q146=TRUE,K146*$D$2,0)</f>
        <v>0</v>
      </c>
      <c r="W146" s="9">
        <f t="shared" ref="W146" si="1383">IF($Q146=TRUE,L146*$D$2,0)</f>
        <v>0</v>
      </c>
      <c r="X146" s="9">
        <f t="shared" ref="X146" si="1384">IF($Q146=TRUE,M146*$D$2,0)</f>
        <v>0</v>
      </c>
      <c r="Y146" s="9">
        <f t="shared" ref="Y146" si="1385">IF($Q146=TRUE,N146*$D$2,0)</f>
        <v>0</v>
      </c>
      <c r="Z146" s="9">
        <f t="shared" ref="Z146" si="1386">IF($Q146=TRUE,O146*$D$2,0)</f>
        <v>0</v>
      </c>
      <c r="AA146" s="9">
        <f t="shared" ref="AA146" si="1387">IF($Q146=TRUE,P146*$D$2,0)</f>
        <v>0</v>
      </c>
    </row>
    <row r="147" spans="1:27" x14ac:dyDescent="0.2">
      <c r="A147" s="77"/>
      <c r="B147" s="6" t="s">
        <v>23</v>
      </c>
      <c r="C147" s="7" t="s">
        <v>134</v>
      </c>
      <c r="D147" s="8"/>
      <c r="E147" s="8"/>
      <c r="F147" s="8" t="b">
        <v>0</v>
      </c>
      <c r="G147" s="28"/>
      <c r="H147" s="28"/>
      <c r="I147" s="28"/>
      <c r="J147" s="28"/>
      <c r="K147" s="28">
        <v>60</v>
      </c>
      <c r="L147" s="28"/>
      <c r="M147" s="28"/>
      <c r="N147" s="28"/>
      <c r="O147" s="28"/>
      <c r="P147" s="48"/>
      <c r="Q147" s="32" t="b">
        <f t="shared" si="1306"/>
        <v>0</v>
      </c>
      <c r="R147" s="9">
        <f t="shared" ref="R147" si="1388">IF($Q147=TRUE,G147*$D$1,0)</f>
        <v>0</v>
      </c>
      <c r="S147" s="9">
        <f t="shared" ref="S147" si="1389">IF($Q147=TRUE,H147*$D$1,0)</f>
        <v>0</v>
      </c>
      <c r="T147" s="9">
        <f t="shared" ref="T147" si="1390">IF($Q147=TRUE,I147*$D$1,0)</f>
        <v>0</v>
      </c>
      <c r="U147" s="9">
        <f t="shared" ref="U147" si="1391">IF($Q147=TRUE,J147*$D$1,0)</f>
        <v>0</v>
      </c>
      <c r="V147" s="9">
        <f t="shared" ref="V147" si="1392">IF($Q147=TRUE,K147*$D$1,0)</f>
        <v>0</v>
      </c>
      <c r="W147" s="9">
        <f t="shared" ref="W147" si="1393">IF($Q147=TRUE,L147*$D$1,0)</f>
        <v>0</v>
      </c>
      <c r="X147" s="9">
        <f t="shared" ref="X147" si="1394">IF($Q147=TRUE,M147*$D$1,0)</f>
        <v>0</v>
      </c>
      <c r="Y147" s="9">
        <f t="shared" ref="Y147" si="1395">IF($Q147=TRUE,N147*$D$1,0)</f>
        <v>0</v>
      </c>
      <c r="Z147" s="9">
        <f t="shared" ref="Z147" si="1396">IF($Q147=TRUE,O147*$D$1,0)</f>
        <v>0</v>
      </c>
      <c r="AA147" s="9">
        <f t="shared" ref="AA147" si="1397">IF($Q147=TRUE,P147*$D$1,0)</f>
        <v>0</v>
      </c>
    </row>
    <row r="148" spans="1:27" x14ac:dyDescent="0.2">
      <c r="A148" s="77"/>
      <c r="B148" s="10" t="s">
        <v>28</v>
      </c>
      <c r="C148" s="11" t="s">
        <v>134</v>
      </c>
      <c r="D148" s="12"/>
      <c r="E148" s="25"/>
      <c r="F148" s="25" t="b">
        <v>0</v>
      </c>
      <c r="G148" s="28"/>
      <c r="H148" s="28"/>
      <c r="I148" s="28"/>
      <c r="J148" s="28"/>
      <c r="K148" s="28">
        <v>60</v>
      </c>
      <c r="L148" s="28"/>
      <c r="M148" s="28"/>
      <c r="N148" s="28"/>
      <c r="O148" s="28"/>
      <c r="P148" s="48"/>
      <c r="Q148" s="33" t="b">
        <f t="shared" si="1317"/>
        <v>0</v>
      </c>
      <c r="R148" s="9">
        <f t="shared" ref="R148" si="1398">IF($Q148=TRUE,G148*$D$2,0)</f>
        <v>0</v>
      </c>
      <c r="S148" s="9">
        <f t="shared" ref="S148" si="1399">IF($Q148=TRUE,H148*$D$2,0)</f>
        <v>0</v>
      </c>
      <c r="T148" s="9">
        <f t="shared" ref="T148" si="1400">IF($Q148=TRUE,I148*$D$2,0)</f>
        <v>0</v>
      </c>
      <c r="U148" s="9">
        <f t="shared" ref="U148" si="1401">IF($Q148=TRUE,J148*$D$2,0)</f>
        <v>0</v>
      </c>
      <c r="V148" s="9">
        <f t="shared" ref="V148" si="1402">IF($Q148=TRUE,K148*$D$2,0)</f>
        <v>0</v>
      </c>
      <c r="W148" s="9">
        <f t="shared" ref="W148" si="1403">IF($Q148=TRUE,L148*$D$2,0)</f>
        <v>0</v>
      </c>
      <c r="X148" s="9">
        <f t="shared" ref="X148" si="1404">IF($Q148=TRUE,M148*$D$2,0)</f>
        <v>0</v>
      </c>
      <c r="Y148" s="9">
        <f t="shared" ref="Y148" si="1405">IF($Q148=TRUE,N148*$D$2,0)</f>
        <v>0</v>
      </c>
      <c r="Z148" s="9">
        <f t="shared" ref="Z148" si="1406">IF($Q148=TRUE,O148*$D$2,0)</f>
        <v>0</v>
      </c>
      <c r="AA148" s="9">
        <f t="shared" ref="AA148" si="1407">IF($Q148=TRUE,P148*$D$2,0)</f>
        <v>0</v>
      </c>
    </row>
    <row r="149" spans="1:27" x14ac:dyDescent="0.2">
      <c r="A149" s="77"/>
      <c r="B149" s="6" t="s">
        <v>23</v>
      </c>
      <c r="C149" s="7" t="s">
        <v>135</v>
      </c>
      <c r="D149" s="8"/>
      <c r="E149" s="8"/>
      <c r="F149" s="8" t="b">
        <v>0</v>
      </c>
      <c r="G149" s="28"/>
      <c r="H149" s="28"/>
      <c r="I149" s="28"/>
      <c r="J149" s="28"/>
      <c r="K149" s="28">
        <v>60</v>
      </c>
      <c r="L149" s="28"/>
      <c r="M149" s="28"/>
      <c r="N149" s="28"/>
      <c r="O149" s="28"/>
      <c r="P149" s="48"/>
      <c r="Q149" s="32" t="b">
        <f t="shared" si="1306"/>
        <v>0</v>
      </c>
      <c r="R149" s="9">
        <f t="shared" ref="R149" si="1408">IF($Q149=TRUE,G149*$D$1,0)</f>
        <v>0</v>
      </c>
      <c r="S149" s="9">
        <f t="shared" ref="S149" si="1409">IF($Q149=TRUE,H149*$D$1,0)</f>
        <v>0</v>
      </c>
      <c r="T149" s="9">
        <f t="shared" ref="T149" si="1410">IF($Q149=TRUE,I149*$D$1,0)</f>
        <v>0</v>
      </c>
      <c r="U149" s="9">
        <f t="shared" ref="U149" si="1411">IF($Q149=TRUE,J149*$D$1,0)</f>
        <v>0</v>
      </c>
      <c r="V149" s="9">
        <f t="shared" ref="V149" si="1412">IF($Q149=TRUE,K149*$D$1,0)</f>
        <v>0</v>
      </c>
      <c r="W149" s="9">
        <f t="shared" ref="W149" si="1413">IF($Q149=TRUE,L149*$D$1,0)</f>
        <v>0</v>
      </c>
      <c r="X149" s="9">
        <f t="shared" ref="X149" si="1414">IF($Q149=TRUE,M149*$D$1,0)</f>
        <v>0</v>
      </c>
      <c r="Y149" s="9">
        <f t="shared" ref="Y149" si="1415">IF($Q149=TRUE,N149*$D$1,0)</f>
        <v>0</v>
      </c>
      <c r="Z149" s="9">
        <f t="shared" ref="Z149" si="1416">IF($Q149=TRUE,O149*$D$1,0)</f>
        <v>0</v>
      </c>
      <c r="AA149" s="9">
        <f t="shared" ref="AA149" si="1417">IF($Q149=TRUE,P149*$D$1,0)</f>
        <v>0</v>
      </c>
    </row>
    <row r="150" spans="1:27" x14ac:dyDescent="0.2">
      <c r="A150" s="77"/>
      <c r="B150" s="10" t="s">
        <v>28</v>
      </c>
      <c r="C150" s="11" t="s">
        <v>135</v>
      </c>
      <c r="D150" s="12"/>
      <c r="E150" s="25"/>
      <c r="F150" s="25" t="b">
        <v>0</v>
      </c>
      <c r="G150" s="28"/>
      <c r="H150" s="28"/>
      <c r="I150" s="28"/>
      <c r="J150" s="28"/>
      <c r="K150" s="28">
        <v>60</v>
      </c>
      <c r="L150" s="28"/>
      <c r="M150" s="28"/>
      <c r="N150" s="28"/>
      <c r="O150" s="28"/>
      <c r="P150" s="48"/>
      <c r="Q150" s="33" t="b">
        <f t="shared" si="1317"/>
        <v>0</v>
      </c>
      <c r="R150" s="9">
        <f t="shared" ref="R150" si="1418">IF($Q150=TRUE,G150*$D$2,0)</f>
        <v>0</v>
      </c>
      <c r="S150" s="9">
        <f t="shared" ref="S150" si="1419">IF($Q150=TRUE,H150*$D$2,0)</f>
        <v>0</v>
      </c>
      <c r="T150" s="9">
        <f t="shared" ref="T150" si="1420">IF($Q150=TRUE,I150*$D$2,0)</f>
        <v>0</v>
      </c>
      <c r="U150" s="9">
        <f t="shared" ref="U150" si="1421">IF($Q150=TRUE,J150*$D$2,0)</f>
        <v>0</v>
      </c>
      <c r="V150" s="9">
        <f t="shared" ref="V150" si="1422">IF($Q150=TRUE,K150*$D$2,0)</f>
        <v>0</v>
      </c>
      <c r="W150" s="9">
        <f t="shared" ref="W150" si="1423">IF($Q150=TRUE,L150*$D$2,0)</f>
        <v>0</v>
      </c>
      <c r="X150" s="9">
        <f t="shared" ref="X150" si="1424">IF($Q150=TRUE,M150*$D$2,0)</f>
        <v>0</v>
      </c>
      <c r="Y150" s="9">
        <f t="shared" ref="Y150" si="1425">IF($Q150=TRUE,N150*$D$2,0)</f>
        <v>0</v>
      </c>
      <c r="Z150" s="9">
        <f t="shared" ref="Z150" si="1426">IF($Q150=TRUE,O150*$D$2,0)</f>
        <v>0</v>
      </c>
      <c r="AA150" s="9">
        <f t="shared" ref="AA150" si="1427">IF($Q150=TRUE,P150*$D$2,0)</f>
        <v>0</v>
      </c>
    </row>
    <row r="151" spans="1:27" x14ac:dyDescent="0.2">
      <c r="A151" s="77"/>
      <c r="B151" s="6" t="s">
        <v>23</v>
      </c>
      <c r="C151" s="7" t="s">
        <v>136</v>
      </c>
      <c r="D151" s="8"/>
      <c r="E151" s="8"/>
      <c r="F151" s="8" t="b">
        <v>0</v>
      </c>
      <c r="G151" s="28"/>
      <c r="H151" s="28">
        <v>30</v>
      </c>
      <c r="I151" s="28"/>
      <c r="J151" s="28"/>
      <c r="K151" s="28">
        <v>72</v>
      </c>
      <c r="L151" s="28"/>
      <c r="M151" s="28"/>
      <c r="N151" s="28"/>
      <c r="O151" s="28"/>
      <c r="P151" s="48"/>
      <c r="Q151" s="32" t="b">
        <f t="shared" si="1306"/>
        <v>0</v>
      </c>
      <c r="R151" s="9">
        <f t="shared" ref="R151" si="1428">IF($Q151=TRUE,G151*$D$1,0)</f>
        <v>0</v>
      </c>
      <c r="S151" s="9">
        <f t="shared" ref="S151" si="1429">IF($Q151=TRUE,H151*$D$1,0)</f>
        <v>0</v>
      </c>
      <c r="T151" s="9">
        <f t="shared" ref="T151" si="1430">IF($Q151=TRUE,I151*$D$1,0)</f>
        <v>0</v>
      </c>
      <c r="U151" s="9">
        <f t="shared" ref="U151" si="1431">IF($Q151=TRUE,J151*$D$1,0)</f>
        <v>0</v>
      </c>
      <c r="V151" s="9">
        <f t="shared" ref="V151" si="1432">IF($Q151=TRUE,K151*$D$1,0)</f>
        <v>0</v>
      </c>
      <c r="W151" s="9">
        <f t="shared" ref="W151" si="1433">IF($Q151=TRUE,L151*$D$1,0)</f>
        <v>0</v>
      </c>
      <c r="X151" s="9">
        <f t="shared" ref="X151" si="1434">IF($Q151=TRUE,M151*$D$1,0)</f>
        <v>0</v>
      </c>
      <c r="Y151" s="9">
        <f t="shared" ref="Y151" si="1435">IF($Q151=TRUE,N151*$D$1,0)</f>
        <v>0</v>
      </c>
      <c r="Z151" s="9">
        <f t="shared" ref="Z151" si="1436">IF($Q151=TRUE,O151*$D$1,0)</f>
        <v>0</v>
      </c>
      <c r="AA151" s="9">
        <f t="shared" ref="AA151" si="1437">IF($Q151=TRUE,P151*$D$1,0)</f>
        <v>0</v>
      </c>
    </row>
    <row r="152" spans="1:27" x14ac:dyDescent="0.2">
      <c r="A152" s="77"/>
      <c r="B152" s="10" t="s">
        <v>28</v>
      </c>
      <c r="C152" s="11" t="s">
        <v>136</v>
      </c>
      <c r="D152" s="12"/>
      <c r="E152" s="25"/>
      <c r="F152" s="25" t="b">
        <v>0</v>
      </c>
      <c r="G152" s="28"/>
      <c r="H152" s="28">
        <v>50</v>
      </c>
      <c r="I152" s="28"/>
      <c r="J152" s="28"/>
      <c r="K152" s="28">
        <v>72</v>
      </c>
      <c r="L152" s="28"/>
      <c r="M152" s="28"/>
      <c r="N152" s="28"/>
      <c r="O152" s="28"/>
      <c r="P152" s="48"/>
      <c r="Q152" s="33" t="b">
        <f t="shared" si="1317"/>
        <v>0</v>
      </c>
      <c r="R152" s="9">
        <f t="shared" ref="R152" si="1438">IF($Q152=TRUE,G152*$D$2,0)</f>
        <v>0</v>
      </c>
      <c r="S152" s="9">
        <f t="shared" ref="S152" si="1439">IF($Q152=TRUE,H152*$D$2,0)</f>
        <v>0</v>
      </c>
      <c r="T152" s="9">
        <f t="shared" ref="T152" si="1440">IF($Q152=TRUE,I152*$D$2,0)</f>
        <v>0</v>
      </c>
      <c r="U152" s="9">
        <f t="shared" ref="U152" si="1441">IF($Q152=TRUE,J152*$D$2,0)</f>
        <v>0</v>
      </c>
      <c r="V152" s="9">
        <f t="shared" ref="V152" si="1442">IF($Q152=TRUE,K152*$D$2,0)</f>
        <v>0</v>
      </c>
      <c r="W152" s="9">
        <f t="shared" ref="W152" si="1443">IF($Q152=TRUE,L152*$D$2,0)</f>
        <v>0</v>
      </c>
      <c r="X152" s="9">
        <f t="shared" ref="X152" si="1444">IF($Q152=TRUE,M152*$D$2,0)</f>
        <v>0</v>
      </c>
      <c r="Y152" s="9">
        <f t="shared" ref="Y152" si="1445">IF($Q152=TRUE,N152*$D$2,0)</f>
        <v>0</v>
      </c>
      <c r="Z152" s="9">
        <f t="shared" ref="Z152" si="1446">IF($Q152=TRUE,O152*$D$2,0)</f>
        <v>0</v>
      </c>
      <c r="AA152" s="9">
        <f t="shared" ref="AA152" si="1447">IF($Q152=TRUE,P152*$D$2,0)</f>
        <v>0</v>
      </c>
    </row>
    <row r="153" spans="1:27" x14ac:dyDescent="0.2">
      <c r="A153" s="77"/>
      <c r="B153" s="6" t="s">
        <v>23</v>
      </c>
      <c r="C153" s="7" t="s">
        <v>137</v>
      </c>
      <c r="D153" s="8"/>
      <c r="E153" s="8"/>
      <c r="F153" s="8" t="b">
        <v>0</v>
      </c>
      <c r="G153" s="28"/>
      <c r="H153" s="28"/>
      <c r="I153" s="28"/>
      <c r="J153" s="28"/>
      <c r="K153" s="28"/>
      <c r="L153" s="28">
        <v>10</v>
      </c>
      <c r="M153" s="28"/>
      <c r="N153" s="28"/>
      <c r="O153" s="28"/>
      <c r="P153" s="48"/>
      <c r="Q153" s="32" t="b">
        <f t="shared" si="1306"/>
        <v>0</v>
      </c>
      <c r="R153" s="9">
        <f t="shared" ref="R153" si="1448">IF($Q153=TRUE,G153*$D$1,0)</f>
        <v>0</v>
      </c>
      <c r="S153" s="9">
        <f t="shared" ref="S153" si="1449">IF($Q153=TRUE,H153*$D$1,0)</f>
        <v>0</v>
      </c>
      <c r="T153" s="9">
        <f t="shared" ref="T153" si="1450">IF($Q153=TRUE,I153*$D$1,0)</f>
        <v>0</v>
      </c>
      <c r="U153" s="9">
        <f t="shared" ref="U153" si="1451">IF($Q153=TRUE,J153*$D$1,0)</f>
        <v>0</v>
      </c>
      <c r="V153" s="9">
        <f t="shared" ref="V153" si="1452">IF($Q153=TRUE,K153*$D$1,0)</f>
        <v>0</v>
      </c>
      <c r="W153" s="9">
        <f t="shared" ref="W153" si="1453">IF($Q153=TRUE,L153*$D$1,0)</f>
        <v>0</v>
      </c>
      <c r="X153" s="9">
        <f t="shared" ref="X153" si="1454">IF($Q153=TRUE,M153*$D$1,0)</f>
        <v>0</v>
      </c>
      <c r="Y153" s="9">
        <f t="shared" ref="Y153" si="1455">IF($Q153=TRUE,N153*$D$1,0)</f>
        <v>0</v>
      </c>
      <c r="Z153" s="9">
        <f t="shared" ref="Z153" si="1456">IF($Q153=TRUE,O153*$D$1,0)</f>
        <v>0</v>
      </c>
      <c r="AA153" s="9">
        <f t="shared" ref="AA153" si="1457">IF($Q153=TRUE,P153*$D$1,0)</f>
        <v>0</v>
      </c>
    </row>
    <row r="154" spans="1:27" x14ac:dyDescent="0.2">
      <c r="A154" s="77"/>
      <c r="B154" s="10" t="s">
        <v>28</v>
      </c>
      <c r="C154" s="11" t="s">
        <v>137</v>
      </c>
      <c r="D154" s="12"/>
      <c r="E154" s="25"/>
      <c r="F154" s="25" t="b">
        <v>0</v>
      </c>
      <c r="G154" s="28"/>
      <c r="H154" s="28"/>
      <c r="I154" s="28"/>
      <c r="J154" s="28"/>
      <c r="K154" s="28"/>
      <c r="L154" s="28">
        <v>20</v>
      </c>
      <c r="M154" s="28"/>
      <c r="N154" s="28"/>
      <c r="O154" s="28"/>
      <c r="P154" s="48"/>
      <c r="Q154" s="33" t="b">
        <f t="shared" si="1317"/>
        <v>0</v>
      </c>
      <c r="R154" s="9">
        <f t="shared" ref="R154" si="1458">IF($Q154=TRUE,G154*$D$2,0)</f>
        <v>0</v>
      </c>
      <c r="S154" s="9">
        <f t="shared" ref="S154" si="1459">IF($Q154=TRUE,H154*$D$2,0)</f>
        <v>0</v>
      </c>
      <c r="T154" s="9">
        <f t="shared" ref="T154" si="1460">IF($Q154=TRUE,I154*$D$2,0)</f>
        <v>0</v>
      </c>
      <c r="U154" s="9">
        <f t="shared" ref="U154" si="1461">IF($Q154=TRUE,J154*$D$2,0)</f>
        <v>0</v>
      </c>
      <c r="V154" s="9">
        <f t="shared" ref="V154" si="1462">IF($Q154=TRUE,K154*$D$2,0)</f>
        <v>0</v>
      </c>
      <c r="W154" s="9">
        <f t="shared" ref="W154" si="1463">IF($Q154=TRUE,L154*$D$2,0)</f>
        <v>0</v>
      </c>
      <c r="X154" s="9">
        <f t="shared" ref="X154" si="1464">IF($Q154=TRUE,M154*$D$2,0)</f>
        <v>0</v>
      </c>
      <c r="Y154" s="9">
        <f t="shared" ref="Y154" si="1465">IF($Q154=TRUE,N154*$D$2,0)</f>
        <v>0</v>
      </c>
      <c r="Z154" s="9">
        <f t="shared" ref="Z154" si="1466">IF($Q154=TRUE,O154*$D$2,0)</f>
        <v>0</v>
      </c>
      <c r="AA154" s="9">
        <f t="shared" ref="AA154" si="1467">IF($Q154=TRUE,P154*$D$2,0)</f>
        <v>0</v>
      </c>
    </row>
    <row r="155" spans="1:27" x14ac:dyDescent="0.2">
      <c r="A155" s="77"/>
      <c r="B155" s="6" t="s">
        <v>23</v>
      </c>
      <c r="C155" s="7" t="s">
        <v>138</v>
      </c>
      <c r="D155" s="8"/>
      <c r="E155" s="8"/>
      <c r="F155" s="8" t="b">
        <v>0</v>
      </c>
      <c r="G155" s="28"/>
      <c r="H155" s="28"/>
      <c r="I155" s="28"/>
      <c r="J155" s="28"/>
      <c r="K155" s="28"/>
      <c r="L155" s="28"/>
      <c r="M155" s="28"/>
      <c r="N155" s="28"/>
      <c r="O155" s="28"/>
      <c r="P155" s="48"/>
      <c r="Q155" s="32" t="b">
        <f t="shared" si="1306"/>
        <v>0</v>
      </c>
      <c r="R155" s="9">
        <f t="shared" ref="R155" si="1468">IF($Q155=TRUE,G155*$D$1,0)</f>
        <v>0</v>
      </c>
      <c r="S155" s="9">
        <f t="shared" ref="S155" si="1469">IF($Q155=TRUE,H155*$D$1,0)</f>
        <v>0</v>
      </c>
      <c r="T155" s="9">
        <f t="shared" ref="T155" si="1470">IF($Q155=TRUE,I155*$D$1,0)</f>
        <v>0</v>
      </c>
      <c r="U155" s="9">
        <f t="shared" ref="U155" si="1471">IF($Q155=TRUE,J155*$D$1,0)</f>
        <v>0</v>
      </c>
      <c r="V155" s="9">
        <f t="shared" ref="V155" si="1472">IF($Q155=TRUE,K155*$D$1,0)</f>
        <v>0</v>
      </c>
      <c r="W155" s="9">
        <f t="shared" ref="W155" si="1473">IF($Q155=TRUE,L155*$D$1,0)</f>
        <v>0</v>
      </c>
      <c r="X155" s="9">
        <f t="shared" ref="X155" si="1474">IF($Q155=TRUE,M155*$D$1,0)</f>
        <v>0</v>
      </c>
      <c r="Y155" s="9">
        <f t="shared" ref="Y155" si="1475">IF($Q155=TRUE,N155*$D$1,0)</f>
        <v>0</v>
      </c>
      <c r="Z155" s="9">
        <f t="shared" ref="Z155" si="1476">IF($Q155=TRUE,O155*$D$1,0)</f>
        <v>0</v>
      </c>
      <c r="AA155" s="9">
        <f t="shared" ref="AA155" si="1477">IF($Q155=TRUE,P155*$D$1,0)</f>
        <v>0</v>
      </c>
    </row>
    <row r="156" spans="1:27" x14ac:dyDescent="0.2">
      <c r="A156" s="77"/>
      <c r="B156" s="10" t="s">
        <v>28</v>
      </c>
      <c r="C156" s="11" t="s">
        <v>138</v>
      </c>
      <c r="D156" s="12"/>
      <c r="E156" s="25"/>
      <c r="F156" s="25" t="b">
        <v>0</v>
      </c>
      <c r="G156" s="28"/>
      <c r="H156" s="28"/>
      <c r="I156" s="28"/>
      <c r="J156" s="28"/>
      <c r="K156" s="28"/>
      <c r="L156" s="28">
        <v>20</v>
      </c>
      <c r="M156" s="28"/>
      <c r="N156" s="28"/>
      <c r="O156" s="28"/>
      <c r="P156" s="48"/>
      <c r="Q156" s="33" t="b">
        <f t="shared" si="1317"/>
        <v>0</v>
      </c>
      <c r="R156" s="9">
        <f t="shared" ref="R156" si="1478">IF($Q156=TRUE,G156*$D$2,0)</f>
        <v>0</v>
      </c>
      <c r="S156" s="9">
        <f t="shared" ref="S156" si="1479">IF($Q156=TRUE,H156*$D$2,0)</f>
        <v>0</v>
      </c>
      <c r="T156" s="9">
        <f t="shared" ref="T156" si="1480">IF($Q156=TRUE,I156*$D$2,0)</f>
        <v>0</v>
      </c>
      <c r="U156" s="9">
        <f t="shared" ref="U156" si="1481">IF($Q156=TRUE,J156*$D$2,0)</f>
        <v>0</v>
      </c>
      <c r="V156" s="9">
        <f t="shared" ref="V156" si="1482">IF($Q156=TRUE,K156*$D$2,0)</f>
        <v>0</v>
      </c>
      <c r="W156" s="9">
        <f t="shared" ref="W156" si="1483">IF($Q156=TRUE,L156*$D$2,0)</f>
        <v>0</v>
      </c>
      <c r="X156" s="9">
        <f t="shared" ref="X156" si="1484">IF($Q156=TRUE,M156*$D$2,0)</f>
        <v>0</v>
      </c>
      <c r="Y156" s="9">
        <f t="shared" ref="Y156" si="1485">IF($Q156=TRUE,N156*$D$2,0)</f>
        <v>0</v>
      </c>
      <c r="Z156" s="9">
        <f t="shared" ref="Z156" si="1486">IF($Q156=TRUE,O156*$D$2,0)</f>
        <v>0</v>
      </c>
      <c r="AA156" s="9">
        <f t="shared" ref="AA156" si="1487">IF($Q156=TRUE,P156*$D$2,0)</f>
        <v>0</v>
      </c>
    </row>
    <row r="157" spans="1:27" x14ac:dyDescent="0.2">
      <c r="A157" s="77"/>
      <c r="B157" s="6" t="s">
        <v>23</v>
      </c>
      <c r="C157" s="7" t="s">
        <v>139</v>
      </c>
      <c r="D157" s="8"/>
      <c r="E157" s="8"/>
      <c r="F157" s="8" t="b">
        <v>0</v>
      </c>
      <c r="G157" s="28"/>
      <c r="H157" s="28">
        <v>40</v>
      </c>
      <c r="I157" s="28"/>
      <c r="J157" s="28"/>
      <c r="K157" s="28"/>
      <c r="L157" s="28"/>
      <c r="M157" s="28"/>
      <c r="N157" s="28"/>
      <c r="O157" s="28"/>
      <c r="P157" s="48"/>
      <c r="Q157" s="32" t="b">
        <f t="shared" si="1306"/>
        <v>0</v>
      </c>
      <c r="R157" s="9">
        <f t="shared" ref="R157" si="1488">IF($Q157=TRUE,G157*$D$1,0)</f>
        <v>0</v>
      </c>
      <c r="S157" s="9">
        <f t="shared" ref="S157" si="1489">IF($Q157=TRUE,H157*$D$1,0)</f>
        <v>0</v>
      </c>
      <c r="T157" s="9">
        <f t="shared" ref="T157" si="1490">IF($Q157=TRUE,I157*$D$1,0)</f>
        <v>0</v>
      </c>
      <c r="U157" s="9">
        <f t="shared" ref="U157" si="1491">IF($Q157=TRUE,J157*$D$1,0)</f>
        <v>0</v>
      </c>
      <c r="V157" s="9">
        <f t="shared" ref="V157" si="1492">IF($Q157=TRUE,K157*$D$1,0)</f>
        <v>0</v>
      </c>
      <c r="W157" s="9">
        <f t="shared" ref="W157" si="1493">IF($Q157=TRUE,L157*$D$1,0)</f>
        <v>0</v>
      </c>
      <c r="X157" s="9">
        <f t="shared" ref="X157" si="1494">IF($Q157=TRUE,M157*$D$1,0)</f>
        <v>0</v>
      </c>
      <c r="Y157" s="9">
        <f t="shared" ref="Y157" si="1495">IF($Q157=TRUE,N157*$D$1,0)</f>
        <v>0</v>
      </c>
      <c r="Z157" s="9">
        <f t="shared" ref="Z157" si="1496">IF($Q157=TRUE,O157*$D$1,0)</f>
        <v>0</v>
      </c>
      <c r="AA157" s="9">
        <f t="shared" ref="AA157" si="1497">IF($Q157=TRUE,P157*$D$1,0)</f>
        <v>0</v>
      </c>
    </row>
    <row r="158" spans="1:27" x14ac:dyDescent="0.2">
      <c r="A158" s="77"/>
      <c r="B158" s="10" t="s">
        <v>28</v>
      </c>
      <c r="C158" s="11" t="s">
        <v>139</v>
      </c>
      <c r="D158" s="12"/>
      <c r="E158" s="25"/>
      <c r="F158" s="25" t="b">
        <v>0</v>
      </c>
      <c r="G158" s="28"/>
      <c r="H158" s="28">
        <v>70</v>
      </c>
      <c r="I158" s="28"/>
      <c r="J158" s="28"/>
      <c r="K158" s="28"/>
      <c r="L158" s="28"/>
      <c r="M158" s="28"/>
      <c r="N158" s="28">
        <v>320.55</v>
      </c>
      <c r="O158" s="28"/>
      <c r="P158" s="48"/>
      <c r="Q158" s="33" t="b">
        <f t="shared" si="1317"/>
        <v>0</v>
      </c>
      <c r="R158" s="9">
        <f t="shared" ref="R158" si="1498">IF($Q158=TRUE,G158*$D$2,0)</f>
        <v>0</v>
      </c>
      <c r="S158" s="9">
        <f t="shared" ref="S158" si="1499">IF($Q158=TRUE,H158*$D$2,0)</f>
        <v>0</v>
      </c>
      <c r="T158" s="9">
        <f t="shared" ref="T158" si="1500">IF($Q158=TRUE,I158*$D$2,0)</f>
        <v>0</v>
      </c>
      <c r="U158" s="9">
        <f t="shared" ref="U158" si="1501">IF($Q158=TRUE,J158*$D$2,0)</f>
        <v>0</v>
      </c>
      <c r="V158" s="9">
        <f t="shared" ref="V158" si="1502">IF($Q158=TRUE,K158*$D$2,0)</f>
        <v>0</v>
      </c>
      <c r="W158" s="9">
        <f t="shared" ref="W158" si="1503">IF($Q158=TRUE,L158*$D$2,0)</f>
        <v>0</v>
      </c>
      <c r="X158" s="9">
        <f t="shared" ref="X158" si="1504">IF($Q158=TRUE,M158*$D$2,0)</f>
        <v>0</v>
      </c>
      <c r="Y158" s="9">
        <f t="shared" ref="Y158" si="1505">IF($Q158=TRUE,N158*$D$2,0)</f>
        <v>0</v>
      </c>
      <c r="Z158" s="9">
        <f t="shared" ref="Z158" si="1506">IF($Q158=TRUE,O158*$D$2,0)</f>
        <v>0</v>
      </c>
      <c r="AA158" s="9">
        <f t="shared" ref="AA158" si="1507">IF($Q158=TRUE,P158*$D$2,0)</f>
        <v>0</v>
      </c>
    </row>
    <row r="159" spans="1:27" x14ac:dyDescent="0.2">
      <c r="A159" s="77"/>
      <c r="B159" s="6" t="s">
        <v>23</v>
      </c>
      <c r="C159" s="7" t="s">
        <v>140</v>
      </c>
      <c r="D159" s="8"/>
      <c r="E159" s="8"/>
      <c r="F159" s="8" t="b">
        <v>0</v>
      </c>
      <c r="G159" s="28"/>
      <c r="H159" s="28">
        <v>45</v>
      </c>
      <c r="I159" s="28"/>
      <c r="J159" s="28"/>
      <c r="K159" s="28"/>
      <c r="L159" s="28"/>
      <c r="M159" s="28"/>
      <c r="N159" s="28"/>
      <c r="O159" s="28"/>
      <c r="P159" s="48"/>
      <c r="Q159" s="32" t="b">
        <f t="shared" si="1306"/>
        <v>0</v>
      </c>
      <c r="R159" s="9">
        <f t="shared" ref="R159" si="1508">IF($Q159=TRUE,G159*$D$1,0)</f>
        <v>0</v>
      </c>
      <c r="S159" s="9">
        <f t="shared" ref="S159" si="1509">IF($Q159=TRUE,H159*$D$1,0)</f>
        <v>0</v>
      </c>
      <c r="T159" s="9">
        <f t="shared" ref="T159" si="1510">IF($Q159=TRUE,I159*$D$1,0)</f>
        <v>0</v>
      </c>
      <c r="U159" s="9">
        <f t="shared" ref="U159" si="1511">IF($Q159=TRUE,J159*$D$1,0)</f>
        <v>0</v>
      </c>
      <c r="V159" s="9">
        <f t="shared" ref="V159" si="1512">IF($Q159=TRUE,K159*$D$1,0)</f>
        <v>0</v>
      </c>
      <c r="W159" s="9">
        <f t="shared" ref="W159" si="1513">IF($Q159=TRUE,L159*$D$1,0)</f>
        <v>0</v>
      </c>
      <c r="X159" s="9">
        <f t="shared" ref="X159" si="1514">IF($Q159=TRUE,M159*$D$1,0)</f>
        <v>0</v>
      </c>
      <c r="Y159" s="9">
        <f t="shared" ref="Y159" si="1515">IF($Q159=TRUE,N159*$D$1,0)</f>
        <v>0</v>
      </c>
      <c r="Z159" s="9">
        <f t="shared" ref="Z159" si="1516">IF($Q159=TRUE,O159*$D$1,0)</f>
        <v>0</v>
      </c>
      <c r="AA159" s="9">
        <f t="shared" ref="AA159" si="1517">IF($Q159=TRUE,P159*$D$1,0)</f>
        <v>0</v>
      </c>
    </row>
    <row r="160" spans="1:27" x14ac:dyDescent="0.2">
      <c r="A160" s="77"/>
      <c r="B160" s="10" t="s">
        <v>28</v>
      </c>
      <c r="C160" s="11" t="s">
        <v>140</v>
      </c>
      <c r="D160" s="12"/>
      <c r="E160" s="25"/>
      <c r="F160" s="25" t="b">
        <v>0</v>
      </c>
      <c r="G160" s="28"/>
      <c r="H160" s="28">
        <v>80</v>
      </c>
      <c r="I160" s="28"/>
      <c r="J160" s="28"/>
      <c r="K160" s="28"/>
      <c r="L160" s="28"/>
      <c r="M160" s="28"/>
      <c r="N160" s="28"/>
      <c r="O160" s="28"/>
      <c r="P160" s="48"/>
      <c r="Q160" s="33" t="b">
        <f t="shared" si="1317"/>
        <v>0</v>
      </c>
      <c r="R160" s="9">
        <f t="shared" ref="R160" si="1518">IF($Q160=TRUE,G160*$D$2,0)</f>
        <v>0</v>
      </c>
      <c r="S160" s="9">
        <f t="shared" ref="S160" si="1519">IF($Q160=TRUE,H160*$D$2,0)</f>
        <v>0</v>
      </c>
      <c r="T160" s="9">
        <f t="shared" ref="T160" si="1520">IF($Q160=TRUE,I160*$D$2,0)</f>
        <v>0</v>
      </c>
      <c r="U160" s="9">
        <f t="shared" ref="U160" si="1521">IF($Q160=TRUE,J160*$D$2,0)</f>
        <v>0</v>
      </c>
      <c r="V160" s="9">
        <f t="shared" ref="V160" si="1522">IF($Q160=TRUE,K160*$D$2,0)</f>
        <v>0</v>
      </c>
      <c r="W160" s="9">
        <f t="shared" ref="W160" si="1523">IF($Q160=TRUE,L160*$D$2,0)</f>
        <v>0</v>
      </c>
      <c r="X160" s="9">
        <f t="shared" ref="X160" si="1524">IF($Q160=TRUE,M160*$D$2,0)</f>
        <v>0</v>
      </c>
      <c r="Y160" s="9">
        <f t="shared" ref="Y160" si="1525">IF($Q160=TRUE,N160*$D$2,0)</f>
        <v>0</v>
      </c>
      <c r="Z160" s="9">
        <f t="shared" ref="Z160" si="1526">IF($Q160=TRUE,O160*$D$2,0)</f>
        <v>0</v>
      </c>
      <c r="AA160" s="9">
        <f t="shared" ref="AA160" si="1527">IF($Q160=TRUE,P160*$D$2,0)</f>
        <v>0</v>
      </c>
    </row>
    <row r="161" spans="1:27" x14ac:dyDescent="0.2">
      <c r="A161" s="77"/>
      <c r="B161" s="6" t="s">
        <v>23</v>
      </c>
      <c r="C161" s="7" t="s">
        <v>141</v>
      </c>
      <c r="D161" s="8"/>
      <c r="E161" s="8"/>
      <c r="F161" s="8" t="b">
        <v>0</v>
      </c>
      <c r="G161" s="28"/>
      <c r="H161" s="28"/>
      <c r="I161" s="28"/>
      <c r="J161" s="28"/>
      <c r="K161" s="28"/>
      <c r="L161" s="28"/>
      <c r="M161" s="28"/>
      <c r="N161" s="28"/>
      <c r="O161" s="28"/>
      <c r="P161" s="48"/>
      <c r="Q161" s="32" t="b">
        <f t="shared" si="1306"/>
        <v>0</v>
      </c>
      <c r="R161" s="9">
        <f t="shared" ref="R161" si="1528">IF($Q161=TRUE,G161*$D$1,0)</f>
        <v>0</v>
      </c>
      <c r="S161" s="9">
        <f t="shared" ref="S161" si="1529">IF($Q161=TRUE,H161*$D$1,0)</f>
        <v>0</v>
      </c>
      <c r="T161" s="9">
        <f t="shared" ref="T161" si="1530">IF($Q161=TRUE,I161*$D$1,0)</f>
        <v>0</v>
      </c>
      <c r="U161" s="9">
        <f t="shared" ref="U161" si="1531">IF($Q161=TRUE,J161*$D$1,0)</f>
        <v>0</v>
      </c>
      <c r="V161" s="9">
        <f t="shared" ref="V161" si="1532">IF($Q161=TRUE,K161*$D$1,0)</f>
        <v>0</v>
      </c>
      <c r="W161" s="9">
        <f t="shared" ref="W161" si="1533">IF($Q161=TRUE,L161*$D$1,0)</f>
        <v>0</v>
      </c>
      <c r="X161" s="9">
        <f t="shared" ref="X161" si="1534">IF($Q161=TRUE,M161*$D$1,0)</f>
        <v>0</v>
      </c>
      <c r="Y161" s="9">
        <f t="shared" ref="Y161" si="1535">IF($Q161=TRUE,N161*$D$1,0)</f>
        <v>0</v>
      </c>
      <c r="Z161" s="9">
        <f t="shared" ref="Z161" si="1536">IF($Q161=TRUE,O161*$D$1,0)</f>
        <v>0</v>
      </c>
      <c r="AA161" s="9">
        <f t="shared" ref="AA161" si="1537">IF($Q161=TRUE,P161*$D$1,0)</f>
        <v>0</v>
      </c>
    </row>
    <row r="162" spans="1:27" x14ac:dyDescent="0.2">
      <c r="A162" s="77"/>
      <c r="B162" s="10" t="s">
        <v>28</v>
      </c>
      <c r="C162" s="11" t="s">
        <v>141</v>
      </c>
      <c r="D162" s="12"/>
      <c r="E162" s="25"/>
      <c r="F162" s="25" t="b">
        <v>0</v>
      </c>
      <c r="G162" s="28"/>
      <c r="H162" s="28">
        <v>100</v>
      </c>
      <c r="I162" s="28"/>
      <c r="J162" s="28"/>
      <c r="K162" s="28"/>
      <c r="L162" s="28"/>
      <c r="M162" s="28"/>
      <c r="N162" s="28"/>
      <c r="O162" s="28"/>
      <c r="P162" s="48"/>
      <c r="Q162" s="33" t="b">
        <f t="shared" si="1317"/>
        <v>0</v>
      </c>
      <c r="R162" s="9">
        <f t="shared" ref="R162" si="1538">IF($Q162=TRUE,G162*$D$2,0)</f>
        <v>0</v>
      </c>
      <c r="S162" s="9">
        <f t="shared" ref="S162" si="1539">IF($Q162=TRUE,H162*$D$2,0)</f>
        <v>0</v>
      </c>
      <c r="T162" s="9">
        <f t="shared" ref="T162" si="1540">IF($Q162=TRUE,I162*$D$2,0)</f>
        <v>0</v>
      </c>
      <c r="U162" s="9">
        <f t="shared" ref="U162" si="1541">IF($Q162=TRUE,J162*$D$2,0)</f>
        <v>0</v>
      </c>
      <c r="V162" s="9">
        <f t="shared" ref="V162" si="1542">IF($Q162=TRUE,K162*$D$2,0)</f>
        <v>0</v>
      </c>
      <c r="W162" s="9">
        <f t="shared" ref="W162" si="1543">IF($Q162=TRUE,L162*$D$2,0)</f>
        <v>0</v>
      </c>
      <c r="X162" s="9">
        <f t="shared" ref="X162" si="1544">IF($Q162=TRUE,M162*$D$2,0)</f>
        <v>0</v>
      </c>
      <c r="Y162" s="9">
        <f t="shared" ref="Y162" si="1545">IF($Q162=TRUE,N162*$D$2,0)</f>
        <v>0</v>
      </c>
      <c r="Z162" s="9">
        <f t="shared" ref="Z162" si="1546">IF($Q162=TRUE,O162*$D$2,0)</f>
        <v>0</v>
      </c>
      <c r="AA162" s="9">
        <f t="shared" ref="AA162" si="1547">IF($Q162=TRUE,P162*$D$2,0)</f>
        <v>0</v>
      </c>
    </row>
    <row r="163" spans="1:27" x14ac:dyDescent="0.2">
      <c r="A163" s="77"/>
      <c r="B163" s="6" t="s">
        <v>23</v>
      </c>
      <c r="C163" s="7" t="s">
        <v>142</v>
      </c>
      <c r="D163" s="8"/>
      <c r="E163" s="8"/>
      <c r="F163" s="8" t="b">
        <v>0</v>
      </c>
      <c r="G163" s="28"/>
      <c r="H163" s="28">
        <v>30</v>
      </c>
      <c r="I163" s="28"/>
      <c r="J163" s="28"/>
      <c r="K163" s="28"/>
      <c r="L163" s="28"/>
      <c r="M163" s="28"/>
      <c r="N163" s="28"/>
      <c r="O163" s="28"/>
      <c r="P163" s="48"/>
      <c r="Q163" s="32" t="b">
        <f t="shared" si="1306"/>
        <v>0</v>
      </c>
      <c r="R163" s="9">
        <f t="shared" ref="R163" si="1548">IF($Q163=TRUE,G163*$D$1,0)</f>
        <v>0</v>
      </c>
      <c r="S163" s="9">
        <f t="shared" ref="S163" si="1549">IF($Q163=TRUE,H163*$D$1,0)</f>
        <v>0</v>
      </c>
      <c r="T163" s="9">
        <f t="shared" ref="T163" si="1550">IF($Q163=TRUE,I163*$D$1,0)</f>
        <v>0</v>
      </c>
      <c r="U163" s="9">
        <f t="shared" ref="U163" si="1551">IF($Q163=TRUE,J163*$D$1,0)</f>
        <v>0</v>
      </c>
      <c r="V163" s="9">
        <f t="shared" ref="V163" si="1552">IF($Q163=TRUE,K163*$D$1,0)</f>
        <v>0</v>
      </c>
      <c r="W163" s="9">
        <f t="shared" ref="W163" si="1553">IF($Q163=TRUE,L163*$D$1,0)</f>
        <v>0</v>
      </c>
      <c r="X163" s="9">
        <f t="shared" ref="X163" si="1554">IF($Q163=TRUE,M163*$D$1,0)</f>
        <v>0</v>
      </c>
      <c r="Y163" s="9">
        <f t="shared" ref="Y163" si="1555">IF($Q163=TRUE,N163*$D$1,0)</f>
        <v>0</v>
      </c>
      <c r="Z163" s="9">
        <f t="shared" ref="Z163" si="1556">IF($Q163=TRUE,O163*$D$1,0)</f>
        <v>0</v>
      </c>
      <c r="AA163" s="9">
        <f t="shared" ref="AA163" si="1557">IF($Q163=TRUE,P163*$D$1,0)</f>
        <v>0</v>
      </c>
    </row>
    <row r="164" spans="1:27" x14ac:dyDescent="0.2">
      <c r="A164" s="77"/>
      <c r="B164" s="10" t="s">
        <v>28</v>
      </c>
      <c r="C164" s="11" t="s">
        <v>142</v>
      </c>
      <c r="D164" s="12"/>
      <c r="E164" s="25"/>
      <c r="F164" s="25" t="b">
        <v>0</v>
      </c>
      <c r="G164" s="28"/>
      <c r="H164" s="28">
        <v>60</v>
      </c>
      <c r="I164" s="28"/>
      <c r="J164" s="28"/>
      <c r="K164" s="28"/>
      <c r="L164" s="28"/>
      <c r="M164" s="28"/>
      <c r="N164" s="28"/>
      <c r="O164" s="28"/>
      <c r="P164" s="48"/>
      <c r="Q164" s="33" t="b">
        <f t="shared" si="1317"/>
        <v>0</v>
      </c>
      <c r="R164" s="9">
        <f t="shared" ref="R164" si="1558">IF($Q164=TRUE,G164*$D$2,0)</f>
        <v>0</v>
      </c>
      <c r="S164" s="9">
        <f t="shared" ref="S164" si="1559">IF($Q164=TRUE,H164*$D$2,0)</f>
        <v>0</v>
      </c>
      <c r="T164" s="9">
        <f t="shared" ref="T164" si="1560">IF($Q164=TRUE,I164*$D$2,0)</f>
        <v>0</v>
      </c>
      <c r="U164" s="9">
        <f t="shared" ref="U164" si="1561">IF($Q164=TRUE,J164*$D$2,0)</f>
        <v>0</v>
      </c>
      <c r="V164" s="9">
        <f t="shared" ref="V164" si="1562">IF($Q164=TRUE,K164*$D$2,0)</f>
        <v>0</v>
      </c>
      <c r="W164" s="9">
        <f t="shared" ref="W164" si="1563">IF($Q164=TRUE,L164*$D$2,0)</f>
        <v>0</v>
      </c>
      <c r="X164" s="9">
        <f t="shared" ref="X164" si="1564">IF($Q164=TRUE,M164*$D$2,0)</f>
        <v>0</v>
      </c>
      <c r="Y164" s="9">
        <f t="shared" ref="Y164" si="1565">IF($Q164=TRUE,N164*$D$2,0)</f>
        <v>0</v>
      </c>
      <c r="Z164" s="9">
        <f t="shared" ref="Z164" si="1566">IF($Q164=TRUE,O164*$D$2,0)</f>
        <v>0</v>
      </c>
      <c r="AA164" s="9">
        <f t="shared" ref="AA164" si="1567">IF($Q164=TRUE,P164*$D$2,0)</f>
        <v>0</v>
      </c>
    </row>
    <row r="165" spans="1:27" x14ac:dyDescent="0.2">
      <c r="A165" s="77"/>
      <c r="B165" s="6" t="s">
        <v>23</v>
      </c>
      <c r="C165" s="7" t="s">
        <v>143</v>
      </c>
      <c r="D165" s="8"/>
      <c r="E165" s="8"/>
      <c r="F165" s="8" t="b">
        <v>0</v>
      </c>
      <c r="G165" s="28"/>
      <c r="H165" s="28"/>
      <c r="I165" s="28"/>
      <c r="J165" s="28"/>
      <c r="K165" s="28"/>
      <c r="L165" s="28"/>
      <c r="M165" s="28"/>
      <c r="N165" s="28"/>
      <c r="O165" s="28"/>
      <c r="P165" s="48"/>
      <c r="Q165" s="32" t="b">
        <f t="shared" si="1306"/>
        <v>0</v>
      </c>
      <c r="R165" s="9">
        <f t="shared" ref="R165" si="1568">IF($Q165=TRUE,G165*$D$1,0)</f>
        <v>0</v>
      </c>
      <c r="S165" s="9">
        <f t="shared" ref="S165" si="1569">IF($Q165=TRUE,H165*$D$1,0)</f>
        <v>0</v>
      </c>
      <c r="T165" s="9">
        <f t="shared" ref="T165" si="1570">IF($Q165=TRUE,I165*$D$1,0)</f>
        <v>0</v>
      </c>
      <c r="U165" s="9">
        <f t="shared" ref="U165" si="1571">IF($Q165=TRUE,J165*$D$1,0)</f>
        <v>0</v>
      </c>
      <c r="V165" s="9">
        <f t="shared" ref="V165" si="1572">IF($Q165=TRUE,K165*$D$1,0)</f>
        <v>0</v>
      </c>
      <c r="W165" s="9">
        <f t="shared" ref="W165" si="1573">IF($Q165=TRUE,L165*$D$1,0)</f>
        <v>0</v>
      </c>
      <c r="X165" s="9">
        <f t="shared" ref="X165" si="1574">IF($Q165=TRUE,M165*$D$1,0)</f>
        <v>0</v>
      </c>
      <c r="Y165" s="9">
        <f t="shared" ref="Y165" si="1575">IF($Q165=TRUE,N165*$D$1,0)</f>
        <v>0</v>
      </c>
      <c r="Z165" s="9">
        <f t="shared" ref="Z165" si="1576">IF($Q165=TRUE,O165*$D$1,0)</f>
        <v>0</v>
      </c>
      <c r="AA165" s="9">
        <f t="shared" ref="AA165" si="1577">IF($Q165=TRUE,P165*$D$1,0)</f>
        <v>0</v>
      </c>
    </row>
    <row r="166" spans="1:27" x14ac:dyDescent="0.2">
      <c r="A166" s="77"/>
      <c r="B166" s="10" t="s">
        <v>28</v>
      </c>
      <c r="C166" s="11" t="s">
        <v>143</v>
      </c>
      <c r="D166" s="12"/>
      <c r="E166" s="25"/>
      <c r="F166" s="25" t="b">
        <v>0</v>
      </c>
      <c r="G166" s="28"/>
      <c r="H166" s="28"/>
      <c r="I166" s="28"/>
      <c r="J166" s="28"/>
      <c r="K166" s="28"/>
      <c r="L166" s="28"/>
      <c r="M166" s="28"/>
      <c r="N166" s="28">
        <v>100.17</v>
      </c>
      <c r="O166" s="28"/>
      <c r="P166" s="48"/>
      <c r="Q166" s="33" t="b">
        <f t="shared" si="1317"/>
        <v>0</v>
      </c>
      <c r="R166" s="9">
        <f t="shared" ref="R166" si="1578">IF($Q166=TRUE,G166*$D$2,0)</f>
        <v>0</v>
      </c>
      <c r="S166" s="9">
        <f t="shared" ref="S166" si="1579">IF($Q166=TRUE,H166*$D$2,0)</f>
        <v>0</v>
      </c>
      <c r="T166" s="9">
        <f t="shared" ref="T166" si="1580">IF($Q166=TRUE,I166*$D$2,0)</f>
        <v>0</v>
      </c>
      <c r="U166" s="9">
        <f t="shared" ref="U166" si="1581">IF($Q166=TRUE,J166*$D$2,0)</f>
        <v>0</v>
      </c>
      <c r="V166" s="9">
        <f t="shared" ref="V166" si="1582">IF($Q166=TRUE,K166*$D$2,0)</f>
        <v>0</v>
      </c>
      <c r="W166" s="9">
        <f t="shared" ref="W166" si="1583">IF($Q166=TRUE,L166*$D$2,0)</f>
        <v>0</v>
      </c>
      <c r="X166" s="9">
        <f t="shared" ref="X166" si="1584">IF($Q166=TRUE,M166*$D$2,0)</f>
        <v>0</v>
      </c>
      <c r="Y166" s="9">
        <f t="shared" ref="Y166" si="1585">IF($Q166=TRUE,N166*$D$2,0)</f>
        <v>0</v>
      </c>
      <c r="Z166" s="9">
        <f t="shared" ref="Z166" si="1586">IF($Q166=TRUE,O166*$D$2,0)</f>
        <v>0</v>
      </c>
      <c r="AA166" s="9">
        <f t="shared" ref="AA166" si="1587">IF($Q166=TRUE,P166*$D$2,0)</f>
        <v>0</v>
      </c>
    </row>
    <row r="167" spans="1:27" x14ac:dyDescent="0.2">
      <c r="A167" s="77"/>
      <c r="B167" s="6" t="s">
        <v>23</v>
      </c>
      <c r="C167" s="7" t="s">
        <v>144</v>
      </c>
      <c r="D167" s="8"/>
      <c r="E167" s="8"/>
      <c r="F167" s="8" t="b">
        <v>0</v>
      </c>
      <c r="G167" s="28"/>
      <c r="H167" s="28"/>
      <c r="I167" s="28"/>
      <c r="J167" s="28"/>
      <c r="K167" s="28"/>
      <c r="L167" s="28"/>
      <c r="M167" s="28"/>
      <c r="N167" s="28">
        <v>74.790000000000006</v>
      </c>
      <c r="O167" s="28"/>
      <c r="P167" s="48"/>
      <c r="Q167" s="32" t="b">
        <f t="shared" si="1306"/>
        <v>0</v>
      </c>
      <c r="R167" s="9">
        <f t="shared" ref="R167" si="1588">IF($Q167=TRUE,G167*$D$1,0)</f>
        <v>0</v>
      </c>
      <c r="S167" s="9">
        <f t="shared" ref="S167" si="1589">IF($Q167=TRUE,H167*$D$1,0)</f>
        <v>0</v>
      </c>
      <c r="T167" s="9">
        <f t="shared" ref="T167" si="1590">IF($Q167=TRUE,I167*$D$1,0)</f>
        <v>0</v>
      </c>
      <c r="U167" s="9">
        <f t="shared" ref="U167" si="1591">IF($Q167=TRUE,J167*$D$1,0)</f>
        <v>0</v>
      </c>
      <c r="V167" s="9">
        <f t="shared" ref="V167" si="1592">IF($Q167=TRUE,K167*$D$1,0)</f>
        <v>0</v>
      </c>
      <c r="W167" s="9">
        <f t="shared" ref="W167" si="1593">IF($Q167=TRUE,L167*$D$1,0)</f>
        <v>0</v>
      </c>
      <c r="X167" s="9">
        <f t="shared" ref="X167" si="1594">IF($Q167=TRUE,M167*$D$1,0)</f>
        <v>0</v>
      </c>
      <c r="Y167" s="9">
        <f t="shared" ref="Y167" si="1595">IF($Q167=TRUE,N167*$D$1,0)</f>
        <v>0</v>
      </c>
      <c r="Z167" s="9">
        <f t="shared" ref="Z167" si="1596">IF($Q167=TRUE,O167*$D$1,0)</f>
        <v>0</v>
      </c>
      <c r="AA167" s="9">
        <f t="shared" ref="AA167" si="1597">IF($Q167=TRUE,P167*$D$1,0)</f>
        <v>0</v>
      </c>
    </row>
    <row r="168" spans="1:27" x14ac:dyDescent="0.2">
      <c r="A168" s="77"/>
      <c r="B168" s="10" t="s">
        <v>28</v>
      </c>
      <c r="C168" s="11" t="s">
        <v>144</v>
      </c>
      <c r="D168" s="12"/>
      <c r="E168" s="25"/>
      <c r="F168" s="25" t="b">
        <v>0</v>
      </c>
      <c r="G168" s="28"/>
      <c r="H168" s="28"/>
      <c r="I168" s="28"/>
      <c r="J168" s="28"/>
      <c r="K168" s="28"/>
      <c r="L168" s="28"/>
      <c r="M168" s="28"/>
      <c r="N168" s="28">
        <v>160.27000000000001</v>
      </c>
      <c r="O168" s="28"/>
      <c r="P168" s="48"/>
      <c r="Q168" s="33" t="b">
        <f t="shared" si="1317"/>
        <v>0</v>
      </c>
      <c r="R168" s="9">
        <f t="shared" ref="R168" si="1598">IF($Q168=TRUE,G168*$D$2,0)</f>
        <v>0</v>
      </c>
      <c r="S168" s="9">
        <f t="shared" ref="S168" si="1599">IF($Q168=TRUE,H168*$D$2,0)</f>
        <v>0</v>
      </c>
      <c r="T168" s="9">
        <f t="shared" ref="T168" si="1600">IF($Q168=TRUE,I168*$D$2,0)</f>
        <v>0</v>
      </c>
      <c r="U168" s="9">
        <f t="shared" ref="U168" si="1601">IF($Q168=TRUE,J168*$D$2,0)</f>
        <v>0</v>
      </c>
      <c r="V168" s="9">
        <f t="shared" ref="V168" si="1602">IF($Q168=TRUE,K168*$D$2,0)</f>
        <v>0</v>
      </c>
      <c r="W168" s="9">
        <f t="shared" ref="W168" si="1603">IF($Q168=TRUE,L168*$D$2,0)</f>
        <v>0</v>
      </c>
      <c r="X168" s="9">
        <f t="shared" ref="X168" si="1604">IF($Q168=TRUE,M168*$D$2,0)</f>
        <v>0</v>
      </c>
      <c r="Y168" s="9">
        <f t="shared" ref="Y168" si="1605">IF($Q168=TRUE,N168*$D$2,0)</f>
        <v>0</v>
      </c>
      <c r="Z168" s="9">
        <f t="shared" ref="Z168" si="1606">IF($Q168=TRUE,O168*$D$2,0)</f>
        <v>0</v>
      </c>
      <c r="AA168" s="9">
        <f t="shared" ref="AA168" si="1607">IF($Q168=TRUE,P168*$D$2,0)</f>
        <v>0</v>
      </c>
    </row>
    <row r="169" spans="1:27" x14ac:dyDescent="0.2">
      <c r="A169" s="77"/>
      <c r="B169" s="6" t="s">
        <v>23</v>
      </c>
      <c r="C169" s="7" t="s">
        <v>145</v>
      </c>
      <c r="D169" s="8"/>
      <c r="E169" s="8"/>
      <c r="F169" s="8" t="b">
        <v>0</v>
      </c>
      <c r="G169" s="28"/>
      <c r="H169" s="28"/>
      <c r="I169" s="28"/>
      <c r="J169" s="28"/>
      <c r="K169" s="28"/>
      <c r="L169" s="28"/>
      <c r="M169" s="28"/>
      <c r="N169" s="28"/>
      <c r="O169" s="28"/>
      <c r="P169" s="48"/>
      <c r="Q169" s="32" t="b">
        <f t="shared" si="1306"/>
        <v>0</v>
      </c>
      <c r="R169" s="9">
        <f t="shared" ref="R169" si="1608">IF($Q169=TRUE,G169*$D$1,0)</f>
        <v>0</v>
      </c>
      <c r="S169" s="9">
        <f t="shared" ref="S169" si="1609">IF($Q169=TRUE,H169*$D$1,0)</f>
        <v>0</v>
      </c>
      <c r="T169" s="9">
        <f t="shared" ref="T169" si="1610">IF($Q169=TRUE,I169*$D$1,0)</f>
        <v>0</v>
      </c>
      <c r="U169" s="9">
        <f t="shared" ref="U169" si="1611">IF($Q169=TRUE,J169*$D$1,0)</f>
        <v>0</v>
      </c>
      <c r="V169" s="9">
        <f t="shared" ref="V169" si="1612">IF($Q169=TRUE,K169*$D$1,0)</f>
        <v>0</v>
      </c>
      <c r="W169" s="9">
        <f t="shared" ref="W169" si="1613">IF($Q169=TRUE,L169*$D$1,0)</f>
        <v>0</v>
      </c>
      <c r="X169" s="9">
        <f t="shared" ref="X169" si="1614">IF($Q169=TRUE,M169*$D$1,0)</f>
        <v>0</v>
      </c>
      <c r="Y169" s="9">
        <f t="shared" ref="Y169" si="1615">IF($Q169=TRUE,N169*$D$1,0)</f>
        <v>0</v>
      </c>
      <c r="Z169" s="9">
        <f t="shared" ref="Z169" si="1616">IF($Q169=TRUE,O169*$D$1,0)</f>
        <v>0</v>
      </c>
      <c r="AA169" s="9">
        <f t="shared" ref="AA169" si="1617">IF($Q169=TRUE,P169*$D$1,0)</f>
        <v>0</v>
      </c>
    </row>
    <row r="170" spans="1:27" x14ac:dyDescent="0.2">
      <c r="A170" s="77"/>
      <c r="B170" s="10" t="s">
        <v>28</v>
      </c>
      <c r="C170" s="11" t="s">
        <v>145</v>
      </c>
      <c r="D170" s="12"/>
      <c r="E170" s="25"/>
      <c r="F170" s="25" t="b">
        <v>0</v>
      </c>
      <c r="G170" s="28"/>
      <c r="H170" s="28"/>
      <c r="I170" s="28"/>
      <c r="J170" s="28"/>
      <c r="K170" s="28"/>
      <c r="L170" s="28"/>
      <c r="M170" s="28"/>
      <c r="N170" s="28">
        <v>240.42</v>
      </c>
      <c r="O170" s="28"/>
      <c r="P170" s="48"/>
      <c r="Q170" s="33" t="b">
        <f t="shared" si="1317"/>
        <v>0</v>
      </c>
      <c r="R170" s="9">
        <f t="shared" ref="R170" si="1618">IF($Q170=TRUE,G170*$D$2,0)</f>
        <v>0</v>
      </c>
      <c r="S170" s="9">
        <f t="shared" ref="S170" si="1619">IF($Q170=TRUE,H170*$D$2,0)</f>
        <v>0</v>
      </c>
      <c r="T170" s="9">
        <f t="shared" ref="T170" si="1620">IF($Q170=TRUE,I170*$D$2,0)</f>
        <v>0</v>
      </c>
      <c r="U170" s="9">
        <f t="shared" ref="U170" si="1621">IF($Q170=TRUE,J170*$D$2,0)</f>
        <v>0</v>
      </c>
      <c r="V170" s="9">
        <f t="shared" ref="V170" si="1622">IF($Q170=TRUE,K170*$D$2,0)</f>
        <v>0</v>
      </c>
      <c r="W170" s="9">
        <f t="shared" ref="W170" si="1623">IF($Q170=TRUE,L170*$D$2,0)</f>
        <v>0</v>
      </c>
      <c r="X170" s="9">
        <f t="shared" ref="X170" si="1624">IF($Q170=TRUE,M170*$D$2,0)</f>
        <v>0</v>
      </c>
      <c r="Y170" s="9">
        <f t="shared" ref="Y170" si="1625">IF($Q170=TRUE,N170*$D$2,0)</f>
        <v>0</v>
      </c>
      <c r="Z170" s="9">
        <f t="shared" ref="Z170" si="1626">IF($Q170=TRUE,O170*$D$2,0)</f>
        <v>0</v>
      </c>
      <c r="AA170" s="9">
        <f t="shared" ref="AA170" si="1627">IF($Q170=TRUE,P170*$D$2,0)</f>
        <v>0</v>
      </c>
    </row>
    <row r="171" spans="1:27" x14ac:dyDescent="0.2">
      <c r="A171" s="77"/>
      <c r="B171" s="6" t="s">
        <v>23</v>
      </c>
      <c r="C171" s="7" t="s">
        <v>146</v>
      </c>
      <c r="D171" s="8"/>
      <c r="E171" s="8"/>
      <c r="F171" s="8" t="b">
        <v>0</v>
      </c>
      <c r="G171" s="28"/>
      <c r="H171" s="28"/>
      <c r="I171" s="28"/>
      <c r="J171" s="28"/>
      <c r="K171" s="28"/>
      <c r="L171" s="28"/>
      <c r="M171" s="28"/>
      <c r="N171" s="28"/>
      <c r="O171" s="28"/>
      <c r="P171" s="48"/>
      <c r="Q171" s="32" t="b">
        <f t="shared" si="1306"/>
        <v>0</v>
      </c>
      <c r="R171" s="9">
        <f t="shared" ref="R171" si="1628">IF($Q171=TRUE,G171*$D$1,0)</f>
        <v>0</v>
      </c>
      <c r="S171" s="9">
        <f t="shared" ref="S171" si="1629">IF($Q171=TRUE,H171*$D$1,0)</f>
        <v>0</v>
      </c>
      <c r="T171" s="9">
        <f t="shared" ref="T171" si="1630">IF($Q171=TRUE,I171*$D$1,0)</f>
        <v>0</v>
      </c>
      <c r="U171" s="9">
        <f t="shared" ref="U171" si="1631">IF($Q171=TRUE,J171*$D$1,0)</f>
        <v>0</v>
      </c>
      <c r="V171" s="9">
        <f t="shared" ref="V171" si="1632">IF($Q171=TRUE,K171*$D$1,0)</f>
        <v>0</v>
      </c>
      <c r="W171" s="9">
        <f t="shared" ref="W171" si="1633">IF($Q171=TRUE,L171*$D$1,0)</f>
        <v>0</v>
      </c>
      <c r="X171" s="9">
        <f t="shared" ref="X171" si="1634">IF($Q171=TRUE,M171*$D$1,0)</f>
        <v>0</v>
      </c>
      <c r="Y171" s="9">
        <f t="shared" ref="Y171" si="1635">IF($Q171=TRUE,N171*$D$1,0)</f>
        <v>0</v>
      </c>
      <c r="Z171" s="9">
        <f t="shared" ref="Z171" si="1636">IF($Q171=TRUE,O171*$D$1,0)</f>
        <v>0</v>
      </c>
      <c r="AA171" s="9">
        <f t="shared" ref="AA171" si="1637">IF($Q171=TRUE,P171*$D$1,0)</f>
        <v>0</v>
      </c>
    </row>
    <row r="172" spans="1:27" x14ac:dyDescent="0.2">
      <c r="A172" s="77"/>
      <c r="B172" s="10" t="s">
        <v>28</v>
      </c>
      <c r="C172" s="11" t="s">
        <v>146</v>
      </c>
      <c r="D172" s="12"/>
      <c r="E172" s="25"/>
      <c r="F172" s="25" t="b">
        <v>0</v>
      </c>
      <c r="G172" s="28"/>
      <c r="H172" s="28"/>
      <c r="I172" s="28"/>
      <c r="J172" s="28"/>
      <c r="K172" s="28"/>
      <c r="L172" s="28"/>
      <c r="M172" s="28"/>
      <c r="N172" s="28">
        <v>180.32</v>
      </c>
      <c r="O172" s="28"/>
      <c r="P172" s="48"/>
      <c r="Q172" s="33" t="b">
        <f t="shared" si="1317"/>
        <v>0</v>
      </c>
      <c r="R172" s="9">
        <f t="shared" ref="R172" si="1638">IF($Q172=TRUE,G172*$D$2,0)</f>
        <v>0</v>
      </c>
      <c r="S172" s="9">
        <f t="shared" ref="S172" si="1639">IF($Q172=TRUE,H172*$D$2,0)</f>
        <v>0</v>
      </c>
      <c r="T172" s="9">
        <f t="shared" ref="T172" si="1640">IF($Q172=TRUE,I172*$D$2,0)</f>
        <v>0</v>
      </c>
      <c r="U172" s="9">
        <f t="shared" ref="U172" si="1641">IF($Q172=TRUE,J172*$D$2,0)</f>
        <v>0</v>
      </c>
      <c r="V172" s="9">
        <f t="shared" ref="V172" si="1642">IF($Q172=TRUE,K172*$D$2,0)</f>
        <v>0</v>
      </c>
      <c r="W172" s="9">
        <f t="shared" ref="W172" si="1643">IF($Q172=TRUE,L172*$D$2,0)</f>
        <v>0</v>
      </c>
      <c r="X172" s="9">
        <f t="shared" ref="X172" si="1644">IF($Q172=TRUE,M172*$D$2,0)</f>
        <v>0</v>
      </c>
      <c r="Y172" s="9">
        <f t="shared" ref="Y172" si="1645">IF($Q172=TRUE,N172*$D$2,0)</f>
        <v>0</v>
      </c>
      <c r="Z172" s="9">
        <f t="shared" ref="Z172" si="1646">IF($Q172=TRUE,O172*$D$2,0)</f>
        <v>0</v>
      </c>
      <c r="AA172" s="9">
        <f t="shared" ref="AA172" si="1647">IF($Q172=TRUE,P172*$D$2,0)</f>
        <v>0</v>
      </c>
    </row>
    <row r="173" spans="1:27" x14ac:dyDescent="0.2">
      <c r="A173" s="77"/>
      <c r="B173" s="6" t="s">
        <v>23</v>
      </c>
      <c r="C173" s="7" t="s">
        <v>147</v>
      </c>
      <c r="D173" s="8"/>
      <c r="E173" s="8"/>
      <c r="F173" s="8" t="b">
        <v>0</v>
      </c>
      <c r="G173" s="28"/>
      <c r="H173" s="28"/>
      <c r="I173" s="28"/>
      <c r="J173" s="28"/>
      <c r="K173" s="28"/>
      <c r="L173" s="28"/>
      <c r="M173" s="28"/>
      <c r="N173" s="28"/>
      <c r="O173" s="28"/>
      <c r="P173" s="48">
        <v>30</v>
      </c>
      <c r="Q173" s="32" t="b">
        <f t="shared" si="1306"/>
        <v>0</v>
      </c>
      <c r="R173" s="9">
        <f t="shared" ref="R173" si="1648">IF($Q173=TRUE,G173*$D$1,0)</f>
        <v>0</v>
      </c>
      <c r="S173" s="9">
        <f t="shared" ref="S173" si="1649">IF($Q173=TRUE,H173*$D$1,0)</f>
        <v>0</v>
      </c>
      <c r="T173" s="9">
        <f t="shared" ref="T173" si="1650">IF($Q173=TRUE,I173*$D$1,0)</f>
        <v>0</v>
      </c>
      <c r="U173" s="9">
        <f t="shared" ref="U173" si="1651">IF($Q173=TRUE,J173*$D$1,0)</f>
        <v>0</v>
      </c>
      <c r="V173" s="9">
        <f t="shared" ref="V173" si="1652">IF($Q173=TRUE,K173*$D$1,0)</f>
        <v>0</v>
      </c>
      <c r="W173" s="9">
        <f t="shared" ref="W173" si="1653">IF($Q173=TRUE,L173*$D$1,0)</f>
        <v>0</v>
      </c>
      <c r="X173" s="9">
        <f t="shared" ref="X173" si="1654">IF($Q173=TRUE,M173*$D$1,0)</f>
        <v>0</v>
      </c>
      <c r="Y173" s="9">
        <f t="shared" ref="Y173" si="1655">IF($Q173=TRUE,N173*$D$1,0)</f>
        <v>0</v>
      </c>
      <c r="Z173" s="9">
        <f t="shared" ref="Z173" si="1656">IF($Q173=TRUE,O173*$D$1,0)</f>
        <v>0</v>
      </c>
      <c r="AA173" s="9">
        <f t="shared" ref="AA173" si="1657">IF($Q173=TRUE,P173*$D$1,0)</f>
        <v>0</v>
      </c>
    </row>
    <row r="174" spans="1:27" x14ac:dyDescent="0.2">
      <c r="A174" s="77"/>
      <c r="B174" s="10" t="s">
        <v>28</v>
      </c>
      <c r="C174" s="11" t="s">
        <v>147</v>
      </c>
      <c r="D174" s="12"/>
      <c r="E174" s="25"/>
      <c r="F174" s="25" t="b">
        <v>0</v>
      </c>
      <c r="G174" s="28"/>
      <c r="H174" s="28"/>
      <c r="I174" s="28"/>
      <c r="J174" s="28"/>
      <c r="K174" s="28"/>
      <c r="L174" s="28"/>
      <c r="M174" s="28"/>
      <c r="N174" s="28"/>
      <c r="O174" s="28"/>
      <c r="P174" s="48">
        <v>55</v>
      </c>
      <c r="Q174" s="33" t="b">
        <f t="shared" si="1317"/>
        <v>0</v>
      </c>
      <c r="R174" s="9">
        <f t="shared" ref="R174" si="1658">IF($Q174=TRUE,G174*$D$2,0)</f>
        <v>0</v>
      </c>
      <c r="S174" s="9">
        <f t="shared" ref="S174" si="1659">IF($Q174=TRUE,H174*$D$2,0)</f>
        <v>0</v>
      </c>
      <c r="T174" s="9">
        <f t="shared" ref="T174" si="1660">IF($Q174=TRUE,I174*$D$2,0)</f>
        <v>0</v>
      </c>
      <c r="U174" s="9">
        <f t="shared" ref="U174" si="1661">IF($Q174=TRUE,J174*$D$2,0)</f>
        <v>0</v>
      </c>
      <c r="V174" s="9">
        <f t="shared" ref="V174" si="1662">IF($Q174=TRUE,K174*$D$2,0)</f>
        <v>0</v>
      </c>
      <c r="W174" s="9">
        <f t="shared" ref="W174" si="1663">IF($Q174=TRUE,L174*$D$2,0)</f>
        <v>0</v>
      </c>
      <c r="X174" s="9">
        <f t="shared" ref="X174" si="1664">IF($Q174=TRUE,M174*$D$2,0)</f>
        <v>0</v>
      </c>
      <c r="Y174" s="9">
        <f t="shared" ref="Y174" si="1665">IF($Q174=TRUE,N174*$D$2,0)</f>
        <v>0</v>
      </c>
      <c r="Z174" s="9">
        <f t="shared" ref="Z174" si="1666">IF($Q174=TRUE,O174*$D$2,0)</f>
        <v>0</v>
      </c>
      <c r="AA174" s="9">
        <f t="shared" ref="AA174" si="1667">IF($Q174=TRUE,P174*$D$2,0)</f>
        <v>0</v>
      </c>
    </row>
    <row r="175" spans="1:27" x14ac:dyDescent="0.2">
      <c r="A175" s="77"/>
      <c r="B175" s="6" t="s">
        <v>23</v>
      </c>
      <c r="C175" s="7" t="s">
        <v>148</v>
      </c>
      <c r="D175" s="8"/>
      <c r="E175" s="8"/>
      <c r="F175" s="8" t="b">
        <v>0</v>
      </c>
      <c r="G175" s="28"/>
      <c r="H175" s="28"/>
      <c r="I175" s="28"/>
      <c r="J175" s="28"/>
      <c r="K175" s="28"/>
      <c r="L175" s="28"/>
      <c r="M175" s="28"/>
      <c r="N175" s="28"/>
      <c r="O175" s="28"/>
      <c r="P175" s="48">
        <v>37</v>
      </c>
      <c r="Q175" s="32" t="b">
        <f t="shared" si="1306"/>
        <v>0</v>
      </c>
      <c r="R175" s="9">
        <f t="shared" ref="R175" si="1668">IF($Q175=TRUE,G175*$D$1,0)</f>
        <v>0</v>
      </c>
      <c r="S175" s="9">
        <f t="shared" ref="S175" si="1669">IF($Q175=TRUE,H175*$D$1,0)</f>
        <v>0</v>
      </c>
      <c r="T175" s="9">
        <f t="shared" ref="T175" si="1670">IF($Q175=TRUE,I175*$D$1,0)</f>
        <v>0</v>
      </c>
      <c r="U175" s="9">
        <f t="shared" ref="U175" si="1671">IF($Q175=TRUE,J175*$D$1,0)</f>
        <v>0</v>
      </c>
      <c r="V175" s="9">
        <f t="shared" ref="V175" si="1672">IF($Q175=TRUE,K175*$D$1,0)</f>
        <v>0</v>
      </c>
      <c r="W175" s="9">
        <f t="shared" ref="W175" si="1673">IF($Q175=TRUE,L175*$D$1,0)</f>
        <v>0</v>
      </c>
      <c r="X175" s="9">
        <f t="shared" ref="X175" si="1674">IF($Q175=TRUE,M175*$D$1,0)</f>
        <v>0</v>
      </c>
      <c r="Y175" s="9">
        <f t="shared" ref="Y175" si="1675">IF($Q175=TRUE,N175*$D$1,0)</f>
        <v>0</v>
      </c>
      <c r="Z175" s="9">
        <f t="shared" ref="Z175" si="1676">IF($Q175=TRUE,O175*$D$1,0)</f>
        <v>0</v>
      </c>
      <c r="AA175" s="9">
        <f t="shared" ref="AA175" si="1677">IF($Q175=TRUE,P175*$D$1,0)</f>
        <v>0</v>
      </c>
    </row>
    <row r="176" spans="1:27" ht="13.5" thickBot="1" x14ac:dyDescent="0.25">
      <c r="A176" s="78"/>
      <c r="B176" s="40" t="s">
        <v>28</v>
      </c>
      <c r="C176" s="41" t="s">
        <v>148</v>
      </c>
      <c r="D176" s="42"/>
      <c r="E176" s="43"/>
      <c r="F176" s="43" t="b">
        <v>0</v>
      </c>
      <c r="G176" s="49"/>
      <c r="H176" s="49"/>
      <c r="I176" s="49"/>
      <c r="J176" s="49"/>
      <c r="K176" s="49"/>
      <c r="L176" s="49"/>
      <c r="M176" s="49"/>
      <c r="N176" s="49"/>
      <c r="O176" s="49"/>
      <c r="P176" s="50">
        <v>67</v>
      </c>
      <c r="Q176" s="33" t="b">
        <f t="shared" si="1317"/>
        <v>0</v>
      </c>
      <c r="R176" s="9">
        <f t="shared" ref="R176" si="1678">IF($Q176=TRUE,G176*$D$2,0)</f>
        <v>0</v>
      </c>
      <c r="S176" s="9">
        <f t="shared" ref="S176" si="1679">IF($Q176=TRUE,H176*$D$2,0)</f>
        <v>0</v>
      </c>
      <c r="T176" s="9">
        <f t="shared" ref="T176" si="1680">IF($Q176=TRUE,I176*$D$2,0)</f>
        <v>0</v>
      </c>
      <c r="U176" s="9">
        <f t="shared" ref="U176" si="1681">IF($Q176=TRUE,J176*$D$2,0)</f>
        <v>0</v>
      </c>
      <c r="V176" s="9">
        <f t="shared" ref="V176" si="1682">IF($Q176=TRUE,K176*$D$2,0)</f>
        <v>0</v>
      </c>
      <c r="W176" s="9">
        <f t="shared" ref="W176" si="1683">IF($Q176=TRUE,L176*$D$2,0)</f>
        <v>0</v>
      </c>
      <c r="X176" s="9">
        <f t="shared" ref="X176" si="1684">IF($Q176=TRUE,M176*$D$2,0)</f>
        <v>0</v>
      </c>
      <c r="Y176" s="9">
        <f t="shared" ref="Y176" si="1685">IF($Q176=TRUE,N176*$D$2,0)</f>
        <v>0</v>
      </c>
      <c r="Z176" s="9">
        <f t="shared" ref="Z176" si="1686">IF($Q176=TRUE,O176*$D$2,0)</f>
        <v>0</v>
      </c>
      <c r="AA176" s="9">
        <f t="shared" ref="AA176" si="1687">IF($Q176=TRUE,P176*$D$2,0)</f>
        <v>0</v>
      </c>
    </row>
    <row r="177" spans="1:27" ht="25.5" x14ac:dyDescent="0.2">
      <c r="A177" s="76" t="s">
        <v>149</v>
      </c>
      <c r="B177" s="34" t="s">
        <v>23</v>
      </c>
      <c r="C177" s="35" t="s">
        <v>150</v>
      </c>
      <c r="D177" s="36"/>
      <c r="E177" s="36"/>
      <c r="F177" s="36" t="b">
        <v>0</v>
      </c>
      <c r="G177" s="37"/>
      <c r="H177" s="37"/>
      <c r="I177" s="37"/>
      <c r="J177" s="37"/>
      <c r="K177" s="37"/>
      <c r="L177" s="37"/>
      <c r="M177" s="37"/>
      <c r="N177" s="37"/>
      <c r="O177" s="37"/>
      <c r="P177" s="38"/>
      <c r="Q177" s="32" t="b">
        <f t="shared" si="1306"/>
        <v>0</v>
      </c>
      <c r="R177" s="9">
        <f t="shared" ref="R177" si="1688">IF($Q177=TRUE,G177*$D$1,0)</f>
        <v>0</v>
      </c>
      <c r="S177" s="9">
        <f t="shared" ref="S177" si="1689">IF($Q177=TRUE,H177*$D$1,0)</f>
        <v>0</v>
      </c>
      <c r="T177" s="9">
        <f t="shared" ref="T177" si="1690">IF($Q177=TRUE,I177*$D$1,0)</f>
        <v>0</v>
      </c>
      <c r="U177" s="9">
        <f t="shared" ref="U177" si="1691">IF($Q177=TRUE,J177*$D$1,0)</f>
        <v>0</v>
      </c>
      <c r="V177" s="9">
        <f t="shared" ref="V177" si="1692">IF($Q177=TRUE,K177*$D$1,0)</f>
        <v>0</v>
      </c>
      <c r="W177" s="9">
        <f t="shared" ref="W177" si="1693">IF($Q177=TRUE,L177*$D$1,0)</f>
        <v>0</v>
      </c>
      <c r="X177" s="9">
        <f t="shared" ref="X177" si="1694">IF($Q177=TRUE,M177*$D$1,0)</f>
        <v>0</v>
      </c>
      <c r="Y177" s="9">
        <f t="shared" ref="Y177" si="1695">IF($Q177=TRUE,N177*$D$1,0)</f>
        <v>0</v>
      </c>
      <c r="Z177" s="9">
        <f t="shared" ref="Z177" si="1696">IF($Q177=TRUE,O177*$D$1,0)</f>
        <v>0</v>
      </c>
      <c r="AA177" s="9">
        <f t="shared" ref="AA177" si="1697">IF($Q177=TRUE,P177*$D$1,0)</f>
        <v>0</v>
      </c>
    </row>
    <row r="178" spans="1:27" ht="25.5" x14ac:dyDescent="0.2">
      <c r="A178" s="77"/>
      <c r="B178" s="10" t="s">
        <v>28</v>
      </c>
      <c r="C178" s="11" t="s">
        <v>150</v>
      </c>
      <c r="D178" s="12"/>
      <c r="E178" s="25"/>
      <c r="F178" s="25" t="b">
        <v>0</v>
      </c>
      <c r="G178" s="29"/>
      <c r="H178" s="29"/>
      <c r="I178" s="29"/>
      <c r="J178" s="29">
        <v>180</v>
      </c>
      <c r="K178" s="29"/>
      <c r="L178" s="29"/>
      <c r="M178" s="29"/>
      <c r="N178" s="29"/>
      <c r="O178" s="29"/>
      <c r="P178" s="39"/>
      <c r="Q178" s="33" t="b">
        <f t="shared" si="1317"/>
        <v>0</v>
      </c>
      <c r="R178" s="9">
        <f t="shared" ref="R178" si="1698">IF($Q178=TRUE,G178*$D$2,0)</f>
        <v>0</v>
      </c>
      <c r="S178" s="9">
        <f t="shared" ref="S178" si="1699">IF($Q178=TRUE,H178*$D$2,0)</f>
        <v>0</v>
      </c>
      <c r="T178" s="9">
        <f t="shared" ref="T178" si="1700">IF($Q178=TRUE,I178*$D$2,0)</f>
        <v>0</v>
      </c>
      <c r="U178" s="9">
        <f t="shared" ref="U178" si="1701">IF($Q178=TRUE,J178*$D$2,0)</f>
        <v>0</v>
      </c>
      <c r="V178" s="9">
        <f t="shared" ref="V178" si="1702">IF($Q178=TRUE,K178*$D$2,0)</f>
        <v>0</v>
      </c>
      <c r="W178" s="9">
        <f t="shared" ref="W178" si="1703">IF($Q178=TRUE,L178*$D$2,0)</f>
        <v>0</v>
      </c>
      <c r="X178" s="9">
        <f t="shared" ref="X178" si="1704">IF($Q178=TRUE,M178*$D$2,0)</f>
        <v>0</v>
      </c>
      <c r="Y178" s="9">
        <f t="shared" ref="Y178" si="1705">IF($Q178=TRUE,N178*$D$2,0)</f>
        <v>0</v>
      </c>
      <c r="Z178" s="9">
        <f t="shared" ref="Z178" si="1706">IF($Q178=TRUE,O178*$D$2,0)</f>
        <v>0</v>
      </c>
      <c r="AA178" s="9">
        <f t="shared" ref="AA178" si="1707">IF($Q178=TRUE,P178*$D$2,0)</f>
        <v>0</v>
      </c>
    </row>
    <row r="179" spans="1:27" ht="25.5" x14ac:dyDescent="0.2">
      <c r="A179" s="77"/>
      <c r="B179" s="6" t="s">
        <v>23</v>
      </c>
      <c r="C179" s="7" t="s">
        <v>151</v>
      </c>
      <c r="D179" s="8"/>
      <c r="E179" s="8"/>
      <c r="F179" s="8" t="b">
        <v>0</v>
      </c>
      <c r="G179" s="29"/>
      <c r="H179" s="29"/>
      <c r="I179" s="29"/>
      <c r="J179" s="29"/>
      <c r="K179" s="29"/>
      <c r="L179" s="29"/>
      <c r="M179" s="29"/>
      <c r="N179" s="29"/>
      <c r="O179" s="29"/>
      <c r="P179" s="39"/>
      <c r="Q179" s="32" t="b">
        <f t="shared" si="1306"/>
        <v>0</v>
      </c>
      <c r="R179" s="9">
        <f t="shared" ref="R179" si="1708">IF($Q179=TRUE,G179*$D$1,0)</f>
        <v>0</v>
      </c>
      <c r="S179" s="9">
        <f t="shared" ref="S179" si="1709">IF($Q179=TRUE,H179*$D$1,0)</f>
        <v>0</v>
      </c>
      <c r="T179" s="9">
        <f t="shared" ref="T179" si="1710">IF($Q179=TRUE,I179*$D$1,0)</f>
        <v>0</v>
      </c>
      <c r="U179" s="9">
        <f t="shared" ref="U179" si="1711">IF($Q179=TRUE,J179*$D$1,0)</f>
        <v>0</v>
      </c>
      <c r="V179" s="9">
        <f t="shared" ref="V179" si="1712">IF($Q179=TRUE,K179*$D$1,0)</f>
        <v>0</v>
      </c>
      <c r="W179" s="9">
        <f t="shared" ref="W179" si="1713">IF($Q179=TRUE,L179*$D$1,0)</f>
        <v>0</v>
      </c>
      <c r="X179" s="9">
        <f t="shared" ref="X179" si="1714">IF($Q179=TRUE,M179*$D$1,0)</f>
        <v>0</v>
      </c>
      <c r="Y179" s="9">
        <f t="shared" ref="Y179" si="1715">IF($Q179=TRUE,N179*$D$1,0)</f>
        <v>0</v>
      </c>
      <c r="Z179" s="9">
        <f t="shared" ref="Z179" si="1716">IF($Q179=TRUE,O179*$D$1,0)</f>
        <v>0</v>
      </c>
      <c r="AA179" s="9">
        <f t="shared" ref="AA179" si="1717">IF($Q179=TRUE,P179*$D$1,0)</f>
        <v>0</v>
      </c>
    </row>
    <row r="180" spans="1:27" ht="25.5" x14ac:dyDescent="0.2">
      <c r="A180" s="77"/>
      <c r="B180" s="10" t="s">
        <v>28</v>
      </c>
      <c r="C180" s="11" t="s">
        <v>151</v>
      </c>
      <c r="D180" s="12"/>
      <c r="E180" s="25"/>
      <c r="F180" s="25" t="b">
        <v>0</v>
      </c>
      <c r="G180" s="29"/>
      <c r="H180" s="29"/>
      <c r="I180" s="29"/>
      <c r="J180" s="29">
        <v>225</v>
      </c>
      <c r="K180" s="29"/>
      <c r="L180" s="29"/>
      <c r="M180" s="29"/>
      <c r="N180" s="29"/>
      <c r="O180" s="29"/>
      <c r="P180" s="39"/>
      <c r="Q180" s="33" t="b">
        <f t="shared" si="1317"/>
        <v>0</v>
      </c>
      <c r="R180" s="9">
        <f t="shared" ref="R180" si="1718">IF($Q180=TRUE,G180*$D$2,0)</f>
        <v>0</v>
      </c>
      <c r="S180" s="9">
        <f t="shared" ref="S180" si="1719">IF($Q180=TRUE,H180*$D$2,0)</f>
        <v>0</v>
      </c>
      <c r="T180" s="9">
        <f t="shared" ref="T180" si="1720">IF($Q180=TRUE,I180*$D$2,0)</f>
        <v>0</v>
      </c>
      <c r="U180" s="9">
        <f t="shared" ref="U180" si="1721">IF($Q180=TRUE,J180*$D$2,0)</f>
        <v>0</v>
      </c>
      <c r="V180" s="9">
        <f t="shared" ref="V180" si="1722">IF($Q180=TRUE,K180*$D$2,0)</f>
        <v>0</v>
      </c>
      <c r="W180" s="9">
        <f t="shared" ref="W180" si="1723">IF($Q180=TRUE,L180*$D$2,0)</f>
        <v>0</v>
      </c>
      <c r="X180" s="9">
        <f t="shared" ref="X180" si="1724">IF($Q180=TRUE,M180*$D$2,0)</f>
        <v>0</v>
      </c>
      <c r="Y180" s="9">
        <f t="shared" ref="Y180" si="1725">IF($Q180=TRUE,N180*$D$2,0)</f>
        <v>0</v>
      </c>
      <c r="Z180" s="9">
        <f t="shared" ref="Z180" si="1726">IF($Q180=TRUE,O180*$D$2,0)</f>
        <v>0</v>
      </c>
      <c r="AA180" s="9">
        <f t="shared" ref="AA180" si="1727">IF($Q180=TRUE,P180*$D$2,0)</f>
        <v>0</v>
      </c>
    </row>
    <row r="181" spans="1:27" ht="25.5" x14ac:dyDescent="0.2">
      <c r="A181" s="77"/>
      <c r="B181" s="6" t="s">
        <v>23</v>
      </c>
      <c r="C181" s="7" t="s">
        <v>152</v>
      </c>
      <c r="D181" s="8"/>
      <c r="E181" s="8"/>
      <c r="F181" s="8" t="b">
        <v>0</v>
      </c>
      <c r="G181" s="29"/>
      <c r="H181" s="29"/>
      <c r="I181" s="29"/>
      <c r="J181" s="29"/>
      <c r="K181" s="29"/>
      <c r="L181" s="29"/>
      <c r="M181" s="29"/>
      <c r="N181" s="29"/>
      <c r="O181" s="29"/>
      <c r="P181" s="39"/>
      <c r="Q181" s="32" t="b">
        <f t="shared" si="1306"/>
        <v>0</v>
      </c>
      <c r="R181" s="9">
        <f t="shared" ref="R181" si="1728">IF($Q181=TRUE,G181*$D$1,0)</f>
        <v>0</v>
      </c>
      <c r="S181" s="9">
        <f t="shared" ref="S181" si="1729">IF($Q181=TRUE,H181*$D$1,0)</f>
        <v>0</v>
      </c>
      <c r="T181" s="9">
        <f t="shared" ref="T181" si="1730">IF($Q181=TRUE,I181*$D$1,0)</f>
        <v>0</v>
      </c>
      <c r="U181" s="9">
        <f t="shared" ref="U181" si="1731">IF($Q181=TRUE,J181*$D$1,0)</f>
        <v>0</v>
      </c>
      <c r="V181" s="9">
        <f t="shared" ref="V181" si="1732">IF($Q181=TRUE,K181*$D$1,0)</f>
        <v>0</v>
      </c>
      <c r="W181" s="9">
        <f t="shared" ref="W181" si="1733">IF($Q181=TRUE,L181*$D$1,0)</f>
        <v>0</v>
      </c>
      <c r="X181" s="9">
        <f t="shared" ref="X181" si="1734">IF($Q181=TRUE,M181*$D$1,0)</f>
        <v>0</v>
      </c>
      <c r="Y181" s="9">
        <f t="shared" ref="Y181" si="1735">IF($Q181=TRUE,N181*$D$1,0)</f>
        <v>0</v>
      </c>
      <c r="Z181" s="9">
        <f t="shared" ref="Z181" si="1736">IF($Q181=TRUE,O181*$D$1,0)</f>
        <v>0</v>
      </c>
      <c r="AA181" s="9">
        <f t="shared" ref="AA181" si="1737">IF($Q181=TRUE,P181*$D$1,0)</f>
        <v>0</v>
      </c>
    </row>
    <row r="182" spans="1:27" ht="25.5" x14ac:dyDescent="0.2">
      <c r="A182" s="77"/>
      <c r="B182" s="10" t="s">
        <v>28</v>
      </c>
      <c r="C182" s="11" t="s">
        <v>152</v>
      </c>
      <c r="D182" s="12"/>
      <c r="E182" s="25"/>
      <c r="F182" s="25" t="b">
        <v>0</v>
      </c>
      <c r="G182" s="29"/>
      <c r="H182" s="29"/>
      <c r="I182" s="29"/>
      <c r="J182" s="29">
        <v>249</v>
      </c>
      <c r="K182" s="29"/>
      <c r="L182" s="29"/>
      <c r="M182" s="29"/>
      <c r="N182" s="29"/>
      <c r="O182" s="29"/>
      <c r="P182" s="39"/>
      <c r="Q182" s="33" t="b">
        <f t="shared" si="1317"/>
        <v>0</v>
      </c>
      <c r="R182" s="9">
        <f t="shared" ref="R182" si="1738">IF($Q182=TRUE,G182*$D$2,0)</f>
        <v>0</v>
      </c>
      <c r="S182" s="9">
        <f t="shared" ref="S182" si="1739">IF($Q182=TRUE,H182*$D$2,0)</f>
        <v>0</v>
      </c>
      <c r="T182" s="9">
        <f t="shared" ref="T182" si="1740">IF($Q182=TRUE,I182*$D$2,0)</f>
        <v>0</v>
      </c>
      <c r="U182" s="9">
        <f t="shared" ref="U182" si="1741">IF($Q182=TRUE,J182*$D$2,0)</f>
        <v>0</v>
      </c>
      <c r="V182" s="9">
        <f t="shared" ref="V182" si="1742">IF($Q182=TRUE,K182*$D$2,0)</f>
        <v>0</v>
      </c>
      <c r="W182" s="9">
        <f t="shared" ref="W182" si="1743">IF($Q182=TRUE,L182*$D$2,0)</f>
        <v>0</v>
      </c>
      <c r="X182" s="9">
        <f t="shared" ref="X182" si="1744">IF($Q182=TRUE,M182*$D$2,0)</f>
        <v>0</v>
      </c>
      <c r="Y182" s="9">
        <f t="shared" ref="Y182" si="1745">IF($Q182=TRUE,N182*$D$2,0)</f>
        <v>0</v>
      </c>
      <c r="Z182" s="9">
        <f t="shared" ref="Z182" si="1746">IF($Q182=TRUE,O182*$D$2,0)</f>
        <v>0</v>
      </c>
      <c r="AA182" s="9">
        <f t="shared" ref="AA182" si="1747">IF($Q182=TRUE,P182*$D$2,0)</f>
        <v>0</v>
      </c>
    </row>
    <row r="183" spans="1:27" ht="25.5" x14ac:dyDescent="0.2">
      <c r="A183" s="77"/>
      <c r="B183" s="6" t="s">
        <v>23</v>
      </c>
      <c r="C183" s="7" t="s">
        <v>153</v>
      </c>
      <c r="D183" s="8"/>
      <c r="E183" s="8"/>
      <c r="F183" s="8" t="b">
        <v>0</v>
      </c>
      <c r="G183" s="29"/>
      <c r="H183" s="29"/>
      <c r="I183" s="29"/>
      <c r="J183" s="29"/>
      <c r="K183" s="29"/>
      <c r="L183" s="29"/>
      <c r="M183" s="29"/>
      <c r="N183" s="29"/>
      <c r="O183" s="29"/>
      <c r="P183" s="39"/>
      <c r="Q183" s="32" t="b">
        <f t="shared" si="1306"/>
        <v>0</v>
      </c>
      <c r="R183" s="9">
        <f t="shared" ref="R183" si="1748">IF($Q183=TRUE,G183*$D$1,0)</f>
        <v>0</v>
      </c>
      <c r="S183" s="9">
        <f t="shared" ref="S183" si="1749">IF($Q183=TRUE,H183*$D$1,0)</f>
        <v>0</v>
      </c>
      <c r="T183" s="9">
        <f t="shared" ref="T183" si="1750">IF($Q183=TRUE,I183*$D$1,0)</f>
        <v>0</v>
      </c>
      <c r="U183" s="9">
        <f t="shared" ref="U183" si="1751">IF($Q183=TRUE,J183*$D$1,0)</f>
        <v>0</v>
      </c>
      <c r="V183" s="9">
        <f t="shared" ref="V183" si="1752">IF($Q183=TRUE,K183*$D$1,0)</f>
        <v>0</v>
      </c>
      <c r="W183" s="9">
        <f t="shared" ref="W183" si="1753">IF($Q183=TRUE,L183*$D$1,0)</f>
        <v>0</v>
      </c>
      <c r="X183" s="9">
        <f t="shared" ref="X183" si="1754">IF($Q183=TRUE,M183*$D$1,0)</f>
        <v>0</v>
      </c>
      <c r="Y183" s="9">
        <f t="shared" ref="Y183" si="1755">IF($Q183=TRUE,N183*$D$1,0)</f>
        <v>0</v>
      </c>
      <c r="Z183" s="9">
        <f t="shared" ref="Z183" si="1756">IF($Q183=TRUE,O183*$D$1,0)</f>
        <v>0</v>
      </c>
      <c r="AA183" s="9">
        <f t="shared" ref="AA183" si="1757">IF($Q183=TRUE,P183*$D$1,0)</f>
        <v>0</v>
      </c>
    </row>
    <row r="184" spans="1:27" ht="25.5" x14ac:dyDescent="0.2">
      <c r="A184" s="77"/>
      <c r="B184" s="10" t="s">
        <v>28</v>
      </c>
      <c r="C184" s="11" t="s">
        <v>153</v>
      </c>
      <c r="D184" s="12"/>
      <c r="E184" s="25"/>
      <c r="F184" s="25" t="b">
        <v>0</v>
      </c>
      <c r="G184" s="29"/>
      <c r="H184" s="29"/>
      <c r="I184" s="29"/>
      <c r="J184" s="29">
        <v>275</v>
      </c>
      <c r="K184" s="29"/>
      <c r="L184" s="29"/>
      <c r="M184" s="29"/>
      <c r="N184" s="29"/>
      <c r="O184" s="29"/>
      <c r="P184" s="39"/>
      <c r="Q184" s="33" t="b">
        <f t="shared" si="1317"/>
        <v>0</v>
      </c>
      <c r="R184" s="9">
        <f t="shared" ref="R184" si="1758">IF($Q184=TRUE,G184*$D$2,0)</f>
        <v>0</v>
      </c>
      <c r="S184" s="9">
        <f t="shared" ref="S184" si="1759">IF($Q184=TRUE,H184*$D$2,0)</f>
        <v>0</v>
      </c>
      <c r="T184" s="9">
        <f t="shared" ref="T184" si="1760">IF($Q184=TRUE,I184*$D$2,0)</f>
        <v>0</v>
      </c>
      <c r="U184" s="9">
        <f t="shared" ref="U184" si="1761">IF($Q184=TRUE,J184*$D$2,0)</f>
        <v>0</v>
      </c>
      <c r="V184" s="9">
        <f t="shared" ref="V184" si="1762">IF($Q184=TRUE,K184*$D$2,0)</f>
        <v>0</v>
      </c>
      <c r="W184" s="9">
        <f t="shared" ref="W184" si="1763">IF($Q184=TRUE,L184*$D$2,0)</f>
        <v>0</v>
      </c>
      <c r="X184" s="9">
        <f t="shared" ref="X184" si="1764">IF($Q184=TRUE,M184*$D$2,0)</f>
        <v>0</v>
      </c>
      <c r="Y184" s="9">
        <f t="shared" ref="Y184" si="1765">IF($Q184=TRUE,N184*$D$2,0)</f>
        <v>0</v>
      </c>
      <c r="Z184" s="9">
        <f t="shared" ref="Z184" si="1766">IF($Q184=TRUE,O184*$D$2,0)</f>
        <v>0</v>
      </c>
      <c r="AA184" s="9">
        <f t="shared" ref="AA184" si="1767">IF($Q184=TRUE,P184*$D$2,0)</f>
        <v>0</v>
      </c>
    </row>
    <row r="185" spans="1:27" ht="25.5" x14ac:dyDescent="0.2">
      <c r="A185" s="77"/>
      <c r="B185" s="6" t="s">
        <v>23</v>
      </c>
      <c r="C185" s="7" t="s">
        <v>154</v>
      </c>
      <c r="D185" s="8"/>
      <c r="E185" s="8"/>
      <c r="F185" s="8" t="b">
        <v>0</v>
      </c>
      <c r="G185" s="29"/>
      <c r="H185" s="29"/>
      <c r="I185" s="29"/>
      <c r="J185" s="29">
        <v>213</v>
      </c>
      <c r="K185" s="29"/>
      <c r="L185" s="29"/>
      <c r="M185" s="29"/>
      <c r="N185" s="29"/>
      <c r="O185" s="29"/>
      <c r="P185" s="39"/>
      <c r="Q185" s="32" t="b">
        <f t="shared" si="1306"/>
        <v>0</v>
      </c>
      <c r="R185" s="9">
        <f t="shared" ref="R185" si="1768">IF($Q185=TRUE,G185*$D$1,0)</f>
        <v>0</v>
      </c>
      <c r="S185" s="9">
        <f t="shared" ref="S185" si="1769">IF($Q185=TRUE,H185*$D$1,0)</f>
        <v>0</v>
      </c>
      <c r="T185" s="9">
        <f t="shared" ref="T185" si="1770">IF($Q185=TRUE,I185*$D$1,0)</f>
        <v>0</v>
      </c>
      <c r="U185" s="9">
        <f t="shared" ref="U185" si="1771">IF($Q185=TRUE,J185*$D$1,0)</f>
        <v>0</v>
      </c>
      <c r="V185" s="9">
        <f t="shared" ref="V185" si="1772">IF($Q185=TRUE,K185*$D$1,0)</f>
        <v>0</v>
      </c>
      <c r="W185" s="9">
        <f t="shared" ref="W185" si="1773">IF($Q185=TRUE,L185*$D$1,0)</f>
        <v>0</v>
      </c>
      <c r="X185" s="9">
        <f t="shared" ref="X185" si="1774">IF($Q185=TRUE,M185*$D$1,0)</f>
        <v>0</v>
      </c>
      <c r="Y185" s="9">
        <f t="shared" ref="Y185" si="1775">IF($Q185=TRUE,N185*$D$1,0)</f>
        <v>0</v>
      </c>
      <c r="Z185" s="9">
        <f t="shared" ref="Z185" si="1776">IF($Q185=TRUE,O185*$D$1,0)</f>
        <v>0</v>
      </c>
      <c r="AA185" s="9">
        <f t="shared" ref="AA185" si="1777">IF($Q185=TRUE,P185*$D$1,0)</f>
        <v>0</v>
      </c>
    </row>
    <row r="186" spans="1:27" ht="25.5" x14ac:dyDescent="0.2">
      <c r="A186" s="77"/>
      <c r="B186" s="10" t="s">
        <v>28</v>
      </c>
      <c r="C186" s="11" t="s">
        <v>154</v>
      </c>
      <c r="D186" s="12"/>
      <c r="E186" s="25"/>
      <c r="F186" s="25" t="b">
        <v>0</v>
      </c>
      <c r="G186" s="29"/>
      <c r="H186" s="29"/>
      <c r="I186" s="29"/>
      <c r="J186" s="29">
        <v>275</v>
      </c>
      <c r="K186" s="29"/>
      <c r="L186" s="29"/>
      <c r="M186" s="29"/>
      <c r="N186" s="29"/>
      <c r="O186" s="29"/>
      <c r="P186" s="39"/>
      <c r="Q186" s="33" t="b">
        <f t="shared" si="1317"/>
        <v>0</v>
      </c>
      <c r="R186" s="9">
        <f t="shared" ref="R186" si="1778">IF($Q186=TRUE,G186*$D$2,0)</f>
        <v>0</v>
      </c>
      <c r="S186" s="9">
        <f t="shared" ref="S186" si="1779">IF($Q186=TRUE,H186*$D$2,0)</f>
        <v>0</v>
      </c>
      <c r="T186" s="9">
        <f t="shared" ref="T186" si="1780">IF($Q186=TRUE,I186*$D$2,0)</f>
        <v>0</v>
      </c>
      <c r="U186" s="9">
        <f t="shared" ref="U186" si="1781">IF($Q186=TRUE,J186*$D$2,0)</f>
        <v>0</v>
      </c>
      <c r="V186" s="9">
        <f t="shared" ref="V186" si="1782">IF($Q186=TRUE,K186*$D$2,0)</f>
        <v>0</v>
      </c>
      <c r="W186" s="9">
        <f t="shared" ref="W186" si="1783">IF($Q186=TRUE,L186*$D$2,0)</f>
        <v>0</v>
      </c>
      <c r="X186" s="9">
        <f t="shared" ref="X186" si="1784">IF($Q186=TRUE,M186*$D$2,0)</f>
        <v>0</v>
      </c>
      <c r="Y186" s="9">
        <f t="shared" ref="Y186" si="1785">IF($Q186=TRUE,N186*$D$2,0)</f>
        <v>0</v>
      </c>
      <c r="Z186" s="9">
        <f t="shared" ref="Z186" si="1786">IF($Q186=TRUE,O186*$D$2,0)</f>
        <v>0</v>
      </c>
      <c r="AA186" s="9">
        <f t="shared" ref="AA186" si="1787">IF($Q186=TRUE,P186*$D$2,0)</f>
        <v>0</v>
      </c>
    </row>
    <row r="187" spans="1:27" ht="25.5" x14ac:dyDescent="0.2">
      <c r="A187" s="77"/>
      <c r="B187" s="6" t="s">
        <v>23</v>
      </c>
      <c r="C187" s="7" t="s">
        <v>155</v>
      </c>
      <c r="D187" s="8"/>
      <c r="E187" s="8"/>
      <c r="F187" s="8" t="b">
        <v>0</v>
      </c>
      <c r="G187" s="29"/>
      <c r="H187" s="29"/>
      <c r="I187" s="29"/>
      <c r="J187" s="29">
        <v>238</v>
      </c>
      <c r="K187" s="29"/>
      <c r="L187" s="29"/>
      <c r="M187" s="29"/>
      <c r="N187" s="29"/>
      <c r="O187" s="29"/>
      <c r="P187" s="39"/>
      <c r="Q187" s="32" t="b">
        <f t="shared" si="1306"/>
        <v>0</v>
      </c>
      <c r="R187" s="9">
        <f t="shared" ref="R187" si="1788">IF($Q187=TRUE,G187*$D$1,0)</f>
        <v>0</v>
      </c>
      <c r="S187" s="9">
        <f t="shared" ref="S187" si="1789">IF($Q187=TRUE,H187*$D$1,0)</f>
        <v>0</v>
      </c>
      <c r="T187" s="9">
        <f t="shared" ref="T187" si="1790">IF($Q187=TRUE,I187*$D$1,0)</f>
        <v>0</v>
      </c>
      <c r="U187" s="9">
        <f t="shared" ref="U187" si="1791">IF($Q187=TRUE,J187*$D$1,0)</f>
        <v>0</v>
      </c>
      <c r="V187" s="9">
        <f t="shared" ref="V187" si="1792">IF($Q187=TRUE,K187*$D$1,0)</f>
        <v>0</v>
      </c>
      <c r="W187" s="9">
        <f t="shared" ref="W187" si="1793">IF($Q187=TRUE,L187*$D$1,0)</f>
        <v>0</v>
      </c>
      <c r="X187" s="9">
        <f t="shared" ref="X187" si="1794">IF($Q187=TRUE,M187*$D$1,0)</f>
        <v>0</v>
      </c>
      <c r="Y187" s="9">
        <f t="shared" ref="Y187" si="1795">IF($Q187=TRUE,N187*$D$1,0)</f>
        <v>0</v>
      </c>
      <c r="Z187" s="9">
        <f t="shared" ref="Z187" si="1796">IF($Q187=TRUE,O187*$D$1,0)</f>
        <v>0</v>
      </c>
      <c r="AA187" s="9">
        <f t="shared" ref="AA187" si="1797">IF($Q187=TRUE,P187*$D$1,0)</f>
        <v>0</v>
      </c>
    </row>
    <row r="188" spans="1:27" ht="25.5" x14ac:dyDescent="0.2">
      <c r="A188" s="77"/>
      <c r="B188" s="10" t="s">
        <v>28</v>
      </c>
      <c r="C188" s="11" t="s">
        <v>155</v>
      </c>
      <c r="D188" s="12"/>
      <c r="E188" s="25"/>
      <c r="F188" s="25" t="b">
        <v>0</v>
      </c>
      <c r="G188" s="29"/>
      <c r="H188" s="29"/>
      <c r="I188" s="29"/>
      <c r="J188" s="29">
        <v>300</v>
      </c>
      <c r="K188" s="29"/>
      <c r="L188" s="29"/>
      <c r="M188" s="29"/>
      <c r="N188" s="29"/>
      <c r="O188" s="29"/>
      <c r="P188" s="39"/>
      <c r="Q188" s="33" t="b">
        <f t="shared" si="1317"/>
        <v>0</v>
      </c>
      <c r="R188" s="9">
        <f t="shared" ref="R188" si="1798">IF($Q188=TRUE,G188*$D$2,0)</f>
        <v>0</v>
      </c>
      <c r="S188" s="9">
        <f t="shared" ref="S188" si="1799">IF($Q188=TRUE,H188*$D$2,0)</f>
        <v>0</v>
      </c>
      <c r="T188" s="9">
        <f t="shared" ref="T188" si="1800">IF($Q188=TRUE,I188*$D$2,0)</f>
        <v>0</v>
      </c>
      <c r="U188" s="9">
        <f t="shared" ref="U188" si="1801">IF($Q188=TRUE,J188*$D$2,0)</f>
        <v>0</v>
      </c>
      <c r="V188" s="9">
        <f t="shared" ref="V188" si="1802">IF($Q188=TRUE,K188*$D$2,0)</f>
        <v>0</v>
      </c>
      <c r="W188" s="9">
        <f t="shared" ref="W188" si="1803">IF($Q188=TRUE,L188*$D$2,0)</f>
        <v>0</v>
      </c>
      <c r="X188" s="9">
        <f t="shared" ref="X188" si="1804">IF($Q188=TRUE,M188*$D$2,0)</f>
        <v>0</v>
      </c>
      <c r="Y188" s="9">
        <f t="shared" ref="Y188" si="1805">IF($Q188=TRUE,N188*$D$2,0)</f>
        <v>0</v>
      </c>
      <c r="Z188" s="9">
        <f t="shared" ref="Z188" si="1806">IF($Q188=TRUE,O188*$D$2,0)</f>
        <v>0</v>
      </c>
      <c r="AA188" s="9">
        <f t="shared" ref="AA188" si="1807">IF($Q188=TRUE,P188*$D$2,0)</f>
        <v>0</v>
      </c>
    </row>
    <row r="189" spans="1:27" x14ac:dyDescent="0.2">
      <c r="A189" s="77"/>
      <c r="B189" s="6" t="s">
        <v>23</v>
      </c>
      <c r="C189" s="7" t="s">
        <v>156</v>
      </c>
      <c r="D189" s="8"/>
      <c r="E189" s="8"/>
      <c r="F189" s="8" t="b">
        <v>0</v>
      </c>
      <c r="G189" s="29"/>
      <c r="H189" s="29"/>
      <c r="I189" s="29"/>
      <c r="J189" s="29"/>
      <c r="K189" s="29"/>
      <c r="L189" s="29"/>
      <c r="M189" s="29"/>
      <c r="N189" s="29"/>
      <c r="O189" s="29"/>
      <c r="P189" s="39">
        <v>97</v>
      </c>
      <c r="Q189" s="32" t="b">
        <f t="shared" si="1306"/>
        <v>0</v>
      </c>
      <c r="R189" s="9">
        <f t="shared" ref="R189" si="1808">IF($Q189=TRUE,G189*$D$1,0)</f>
        <v>0</v>
      </c>
      <c r="S189" s="9">
        <f t="shared" ref="S189" si="1809">IF($Q189=TRUE,H189*$D$1,0)</f>
        <v>0</v>
      </c>
      <c r="T189" s="9">
        <f t="shared" ref="T189" si="1810">IF($Q189=TRUE,I189*$D$1,0)</f>
        <v>0</v>
      </c>
      <c r="U189" s="9">
        <f t="shared" ref="U189" si="1811">IF($Q189=TRUE,J189*$D$1,0)</f>
        <v>0</v>
      </c>
      <c r="V189" s="9">
        <f t="shared" ref="V189" si="1812">IF($Q189=TRUE,K189*$D$1,0)</f>
        <v>0</v>
      </c>
      <c r="W189" s="9">
        <f t="shared" ref="W189" si="1813">IF($Q189=TRUE,L189*$D$1,0)</f>
        <v>0</v>
      </c>
      <c r="X189" s="9">
        <f t="shared" ref="X189" si="1814">IF($Q189=TRUE,M189*$D$1,0)</f>
        <v>0</v>
      </c>
      <c r="Y189" s="9">
        <f t="shared" ref="Y189" si="1815">IF($Q189=TRUE,N189*$D$1,0)</f>
        <v>0</v>
      </c>
      <c r="Z189" s="9">
        <f t="shared" ref="Z189" si="1816">IF($Q189=TRUE,O189*$D$1,0)</f>
        <v>0</v>
      </c>
      <c r="AA189" s="9">
        <f t="shared" ref="AA189" si="1817">IF($Q189=TRUE,P189*$D$1,0)</f>
        <v>0</v>
      </c>
    </row>
    <row r="190" spans="1:27" x14ac:dyDescent="0.2">
      <c r="A190" s="77"/>
      <c r="B190" s="10" t="s">
        <v>28</v>
      </c>
      <c r="C190" s="11" t="s">
        <v>156</v>
      </c>
      <c r="D190" s="12"/>
      <c r="E190" s="25"/>
      <c r="F190" s="25" t="b">
        <v>0</v>
      </c>
      <c r="G190" s="29"/>
      <c r="H190" s="29"/>
      <c r="I190" s="29"/>
      <c r="J190" s="29"/>
      <c r="K190" s="29"/>
      <c r="L190" s="29"/>
      <c r="M190" s="29"/>
      <c r="N190" s="29"/>
      <c r="O190" s="29"/>
      <c r="P190" s="39">
        <v>187</v>
      </c>
      <c r="Q190" s="33" t="b">
        <f t="shared" si="1317"/>
        <v>0</v>
      </c>
      <c r="R190" s="9">
        <f t="shared" ref="R190" si="1818">IF($Q190=TRUE,G190*$D$2,0)</f>
        <v>0</v>
      </c>
      <c r="S190" s="9">
        <f t="shared" ref="S190" si="1819">IF($Q190=TRUE,H190*$D$2,0)</f>
        <v>0</v>
      </c>
      <c r="T190" s="9">
        <f t="shared" ref="T190" si="1820">IF($Q190=TRUE,I190*$D$2,0)</f>
        <v>0</v>
      </c>
      <c r="U190" s="9">
        <f t="shared" ref="U190" si="1821">IF($Q190=TRUE,J190*$D$2,0)</f>
        <v>0</v>
      </c>
      <c r="V190" s="9">
        <f t="shared" ref="V190" si="1822">IF($Q190=TRUE,K190*$D$2,0)</f>
        <v>0</v>
      </c>
      <c r="W190" s="9">
        <f t="shared" ref="W190" si="1823">IF($Q190=TRUE,L190*$D$2,0)</f>
        <v>0</v>
      </c>
      <c r="X190" s="9">
        <f t="shared" ref="X190" si="1824">IF($Q190=TRUE,M190*$D$2,0)</f>
        <v>0</v>
      </c>
      <c r="Y190" s="9">
        <f t="shared" ref="Y190" si="1825">IF($Q190=TRUE,N190*$D$2,0)</f>
        <v>0</v>
      </c>
      <c r="Z190" s="9">
        <f t="shared" ref="Z190" si="1826">IF($Q190=TRUE,O190*$D$2,0)</f>
        <v>0</v>
      </c>
      <c r="AA190" s="9">
        <f t="shared" ref="AA190" si="1827">IF($Q190=TRUE,P190*$D$2,0)</f>
        <v>0</v>
      </c>
    </row>
    <row r="191" spans="1:27" x14ac:dyDescent="0.2">
      <c r="A191" s="77"/>
      <c r="B191" s="6" t="s">
        <v>23</v>
      </c>
      <c r="C191" s="7" t="s">
        <v>107</v>
      </c>
      <c r="D191" s="8"/>
      <c r="E191" s="8"/>
      <c r="F191" s="8" t="b">
        <v>0</v>
      </c>
      <c r="G191" s="29">
        <v>200</v>
      </c>
      <c r="H191" s="29"/>
      <c r="I191" s="29"/>
      <c r="J191" s="29"/>
      <c r="K191" s="29"/>
      <c r="L191" s="29"/>
      <c r="M191" s="29"/>
      <c r="N191" s="29"/>
      <c r="O191" s="29"/>
      <c r="P191" s="39"/>
      <c r="Q191" s="32" t="b">
        <f t="shared" si="1306"/>
        <v>0</v>
      </c>
      <c r="R191" s="9">
        <f t="shared" ref="R191" si="1828">IF($Q191=TRUE,G191*$D$1,0)</f>
        <v>0</v>
      </c>
      <c r="S191" s="9">
        <f t="shared" ref="S191" si="1829">IF($Q191=TRUE,H191*$D$1,0)</f>
        <v>0</v>
      </c>
      <c r="T191" s="9">
        <f t="shared" ref="T191" si="1830">IF($Q191=TRUE,I191*$D$1,0)</f>
        <v>0</v>
      </c>
      <c r="U191" s="9">
        <f t="shared" ref="U191" si="1831">IF($Q191=TRUE,J191*$D$1,0)</f>
        <v>0</v>
      </c>
      <c r="V191" s="9">
        <f t="shared" ref="V191" si="1832">IF($Q191=TRUE,K191*$D$1,0)</f>
        <v>0</v>
      </c>
      <c r="W191" s="9">
        <f t="shared" ref="W191" si="1833">IF($Q191=TRUE,L191*$D$1,0)</f>
        <v>0</v>
      </c>
      <c r="X191" s="9">
        <f t="shared" ref="X191" si="1834">IF($Q191=TRUE,M191*$D$1,0)</f>
        <v>0</v>
      </c>
      <c r="Y191" s="9">
        <f t="shared" ref="Y191" si="1835">IF($Q191=TRUE,N191*$D$1,0)</f>
        <v>0</v>
      </c>
      <c r="Z191" s="9">
        <f t="shared" ref="Z191" si="1836">IF($Q191=TRUE,O191*$D$1,0)</f>
        <v>0</v>
      </c>
      <c r="AA191" s="9">
        <f t="shared" ref="AA191" si="1837">IF($Q191=TRUE,P191*$D$1,0)</f>
        <v>0</v>
      </c>
    </row>
    <row r="192" spans="1:27" x14ac:dyDescent="0.2">
      <c r="A192" s="77"/>
      <c r="B192" s="10" t="s">
        <v>28</v>
      </c>
      <c r="C192" s="11" t="s">
        <v>107</v>
      </c>
      <c r="D192" s="12"/>
      <c r="E192" s="25"/>
      <c r="F192" s="25" t="b">
        <v>0</v>
      </c>
      <c r="G192" s="29">
        <v>300</v>
      </c>
      <c r="H192" s="29">
        <v>150</v>
      </c>
      <c r="I192" s="29"/>
      <c r="J192" s="29"/>
      <c r="K192" s="29"/>
      <c r="L192" s="29"/>
      <c r="M192" s="29"/>
      <c r="N192" s="29"/>
      <c r="O192" s="29"/>
      <c r="P192" s="39">
        <v>177</v>
      </c>
      <c r="Q192" s="33" t="b">
        <f t="shared" si="1317"/>
        <v>0</v>
      </c>
      <c r="R192" s="9">
        <f t="shared" ref="R192" si="1838">IF($Q192=TRUE,G192*$D$2,0)</f>
        <v>0</v>
      </c>
      <c r="S192" s="9">
        <f t="shared" ref="S192" si="1839">IF($Q192=TRUE,H192*$D$2,0)</f>
        <v>0</v>
      </c>
      <c r="T192" s="9">
        <f t="shared" ref="T192" si="1840">IF($Q192=TRUE,I192*$D$2,0)</f>
        <v>0</v>
      </c>
      <c r="U192" s="9">
        <f t="shared" ref="U192" si="1841">IF($Q192=TRUE,J192*$D$2,0)</f>
        <v>0</v>
      </c>
      <c r="V192" s="9">
        <f t="shared" ref="V192" si="1842">IF($Q192=TRUE,K192*$D$2,0)</f>
        <v>0</v>
      </c>
      <c r="W192" s="9">
        <f t="shared" ref="W192" si="1843">IF($Q192=TRUE,L192*$D$2,0)</f>
        <v>0</v>
      </c>
      <c r="X192" s="9">
        <f t="shared" ref="X192" si="1844">IF($Q192=TRUE,M192*$D$2,0)</f>
        <v>0</v>
      </c>
      <c r="Y192" s="9">
        <f t="shared" ref="Y192" si="1845">IF($Q192=TRUE,N192*$D$2,0)</f>
        <v>0</v>
      </c>
      <c r="Z192" s="9">
        <f t="shared" ref="Z192" si="1846">IF($Q192=TRUE,O192*$D$2,0)</f>
        <v>0</v>
      </c>
      <c r="AA192" s="9">
        <f t="shared" ref="AA192" si="1847">IF($Q192=TRUE,P192*$D$2,0)</f>
        <v>0</v>
      </c>
    </row>
    <row r="193" spans="1:27" ht="25.5" x14ac:dyDescent="0.2">
      <c r="A193" s="77"/>
      <c r="B193" s="6" t="s">
        <v>23</v>
      </c>
      <c r="C193" s="7" t="s">
        <v>157</v>
      </c>
      <c r="D193" s="8"/>
      <c r="E193" s="8"/>
      <c r="F193" s="8" t="b">
        <v>0</v>
      </c>
      <c r="G193" s="29"/>
      <c r="H193" s="29"/>
      <c r="I193" s="29"/>
      <c r="J193" s="29">
        <v>213</v>
      </c>
      <c r="K193" s="29"/>
      <c r="L193" s="29"/>
      <c r="M193" s="29"/>
      <c r="N193" s="29"/>
      <c r="O193" s="29"/>
      <c r="P193" s="39"/>
      <c r="Q193" s="32" t="b">
        <f t="shared" si="1306"/>
        <v>0</v>
      </c>
      <c r="R193" s="9">
        <f t="shared" ref="R193" si="1848">IF($Q193=TRUE,G193*$D$1,0)</f>
        <v>0</v>
      </c>
      <c r="S193" s="9">
        <f t="shared" ref="S193" si="1849">IF($Q193=TRUE,H193*$D$1,0)</f>
        <v>0</v>
      </c>
      <c r="T193" s="9">
        <f t="shared" ref="T193" si="1850">IF($Q193=TRUE,I193*$D$1,0)</f>
        <v>0</v>
      </c>
      <c r="U193" s="9">
        <f t="shared" ref="U193" si="1851">IF($Q193=TRUE,J193*$D$1,0)</f>
        <v>0</v>
      </c>
      <c r="V193" s="9">
        <f t="shared" ref="V193" si="1852">IF($Q193=TRUE,K193*$D$1,0)</f>
        <v>0</v>
      </c>
      <c r="W193" s="9">
        <f t="shared" ref="W193" si="1853">IF($Q193=TRUE,L193*$D$1,0)</f>
        <v>0</v>
      </c>
      <c r="X193" s="9">
        <f t="shared" ref="X193" si="1854">IF($Q193=TRUE,M193*$D$1,0)</f>
        <v>0</v>
      </c>
      <c r="Y193" s="9">
        <f t="shared" ref="Y193" si="1855">IF($Q193=TRUE,N193*$D$1,0)</f>
        <v>0</v>
      </c>
      <c r="Z193" s="9">
        <f t="shared" ref="Z193" si="1856">IF($Q193=TRUE,O193*$D$1,0)</f>
        <v>0</v>
      </c>
      <c r="AA193" s="9">
        <f t="shared" ref="AA193" si="1857">IF($Q193=TRUE,P193*$D$1,0)</f>
        <v>0</v>
      </c>
    </row>
    <row r="194" spans="1:27" ht="25.5" x14ac:dyDescent="0.2">
      <c r="A194" s="77"/>
      <c r="B194" s="10" t="s">
        <v>28</v>
      </c>
      <c r="C194" s="11" t="s">
        <v>157</v>
      </c>
      <c r="D194" s="12"/>
      <c r="E194" s="25"/>
      <c r="F194" s="25" t="b">
        <v>0</v>
      </c>
      <c r="G194" s="29"/>
      <c r="H194" s="29"/>
      <c r="I194" s="29"/>
      <c r="J194" s="29">
        <v>275</v>
      </c>
      <c r="K194" s="29"/>
      <c r="L194" s="29"/>
      <c r="M194" s="29"/>
      <c r="N194" s="29"/>
      <c r="O194" s="29"/>
      <c r="P194" s="39"/>
      <c r="Q194" s="33" t="b">
        <f t="shared" si="1317"/>
        <v>0</v>
      </c>
      <c r="R194" s="9">
        <f t="shared" ref="R194" si="1858">IF($Q194=TRUE,G194*$D$2,0)</f>
        <v>0</v>
      </c>
      <c r="S194" s="9">
        <f t="shared" ref="S194" si="1859">IF($Q194=TRUE,H194*$D$2,0)</f>
        <v>0</v>
      </c>
      <c r="T194" s="9">
        <f t="shared" ref="T194" si="1860">IF($Q194=TRUE,I194*$D$2,0)</f>
        <v>0</v>
      </c>
      <c r="U194" s="9">
        <f t="shared" ref="U194" si="1861">IF($Q194=TRUE,J194*$D$2,0)</f>
        <v>0</v>
      </c>
      <c r="V194" s="9">
        <f t="shared" ref="V194" si="1862">IF($Q194=TRUE,K194*$D$2,0)</f>
        <v>0</v>
      </c>
      <c r="W194" s="9">
        <f t="shared" ref="W194" si="1863">IF($Q194=TRUE,L194*$D$2,0)</f>
        <v>0</v>
      </c>
      <c r="X194" s="9">
        <f t="shared" ref="X194" si="1864">IF($Q194=TRUE,M194*$D$2,0)</f>
        <v>0</v>
      </c>
      <c r="Y194" s="9">
        <f t="shared" ref="Y194" si="1865">IF($Q194=TRUE,N194*$D$2,0)</f>
        <v>0</v>
      </c>
      <c r="Z194" s="9">
        <f t="shared" ref="Z194" si="1866">IF($Q194=TRUE,O194*$D$2,0)</f>
        <v>0</v>
      </c>
      <c r="AA194" s="9">
        <f t="shared" ref="AA194" si="1867">IF($Q194=TRUE,P194*$D$2,0)</f>
        <v>0</v>
      </c>
    </row>
    <row r="195" spans="1:27" ht="25.5" x14ac:dyDescent="0.2">
      <c r="A195" s="77"/>
      <c r="B195" s="6" t="s">
        <v>23</v>
      </c>
      <c r="C195" s="7" t="s">
        <v>158</v>
      </c>
      <c r="D195" s="8"/>
      <c r="E195" s="8"/>
      <c r="F195" s="8" t="b">
        <v>0</v>
      </c>
      <c r="G195" s="29"/>
      <c r="H195" s="29"/>
      <c r="I195" s="29"/>
      <c r="J195" s="29">
        <v>238</v>
      </c>
      <c r="K195" s="29"/>
      <c r="L195" s="29"/>
      <c r="M195" s="29"/>
      <c r="N195" s="29"/>
      <c r="O195" s="29"/>
      <c r="P195" s="39"/>
      <c r="Q195" s="32" t="b">
        <f t="shared" si="1306"/>
        <v>0</v>
      </c>
      <c r="R195" s="9">
        <f t="shared" ref="R195" si="1868">IF($Q195=TRUE,G195*$D$1,0)</f>
        <v>0</v>
      </c>
      <c r="S195" s="9">
        <f t="shared" ref="S195" si="1869">IF($Q195=TRUE,H195*$D$1,0)</f>
        <v>0</v>
      </c>
      <c r="T195" s="9">
        <f t="shared" ref="T195" si="1870">IF($Q195=TRUE,I195*$D$1,0)</f>
        <v>0</v>
      </c>
      <c r="U195" s="9">
        <f t="shared" ref="U195" si="1871">IF($Q195=TRUE,J195*$D$1,0)</f>
        <v>0</v>
      </c>
      <c r="V195" s="9">
        <f t="shared" ref="V195" si="1872">IF($Q195=TRUE,K195*$D$1,0)</f>
        <v>0</v>
      </c>
      <c r="W195" s="9">
        <f t="shared" ref="W195" si="1873">IF($Q195=TRUE,L195*$D$1,0)</f>
        <v>0</v>
      </c>
      <c r="X195" s="9">
        <f t="shared" ref="X195" si="1874">IF($Q195=TRUE,M195*$D$1,0)</f>
        <v>0</v>
      </c>
      <c r="Y195" s="9">
        <f t="shared" ref="Y195" si="1875">IF($Q195=TRUE,N195*$D$1,0)</f>
        <v>0</v>
      </c>
      <c r="Z195" s="9">
        <f t="shared" ref="Z195" si="1876">IF($Q195=TRUE,O195*$D$1,0)</f>
        <v>0</v>
      </c>
      <c r="AA195" s="9">
        <f t="shared" ref="AA195" si="1877">IF($Q195=TRUE,P195*$D$1,0)</f>
        <v>0</v>
      </c>
    </row>
    <row r="196" spans="1:27" ht="25.5" x14ac:dyDescent="0.2">
      <c r="A196" s="77"/>
      <c r="B196" s="10" t="s">
        <v>28</v>
      </c>
      <c r="C196" s="11" t="s">
        <v>158</v>
      </c>
      <c r="D196" s="12"/>
      <c r="E196" s="25"/>
      <c r="F196" s="25" t="b">
        <v>0</v>
      </c>
      <c r="G196" s="29"/>
      <c r="H196" s="29"/>
      <c r="I196" s="29"/>
      <c r="J196" s="29">
        <v>300</v>
      </c>
      <c r="K196" s="29"/>
      <c r="L196" s="29"/>
      <c r="M196" s="29"/>
      <c r="N196" s="29"/>
      <c r="O196" s="29"/>
      <c r="P196" s="39"/>
      <c r="Q196" s="33" t="b">
        <f t="shared" si="1317"/>
        <v>0</v>
      </c>
      <c r="R196" s="9">
        <f t="shared" ref="R196" si="1878">IF($Q196=TRUE,G196*$D$2,0)</f>
        <v>0</v>
      </c>
      <c r="S196" s="9">
        <f t="shared" ref="S196" si="1879">IF($Q196=TRUE,H196*$D$2,0)</f>
        <v>0</v>
      </c>
      <c r="T196" s="9">
        <f t="shared" ref="T196" si="1880">IF($Q196=TRUE,I196*$D$2,0)</f>
        <v>0</v>
      </c>
      <c r="U196" s="9">
        <f t="shared" ref="U196" si="1881">IF($Q196=TRUE,J196*$D$2,0)</f>
        <v>0</v>
      </c>
      <c r="V196" s="9">
        <f t="shared" ref="V196" si="1882">IF($Q196=TRUE,K196*$D$2,0)</f>
        <v>0</v>
      </c>
      <c r="W196" s="9">
        <f t="shared" ref="W196" si="1883">IF($Q196=TRUE,L196*$D$2,0)</f>
        <v>0</v>
      </c>
      <c r="X196" s="9">
        <f t="shared" ref="X196" si="1884">IF($Q196=TRUE,M196*$D$2,0)</f>
        <v>0</v>
      </c>
      <c r="Y196" s="9">
        <f t="shared" ref="Y196" si="1885">IF($Q196=TRUE,N196*$D$2,0)</f>
        <v>0</v>
      </c>
      <c r="Z196" s="9">
        <f t="shared" ref="Z196" si="1886">IF($Q196=TRUE,O196*$D$2,0)</f>
        <v>0</v>
      </c>
      <c r="AA196" s="9">
        <f t="shared" ref="AA196" si="1887">IF($Q196=TRUE,P196*$D$2,0)</f>
        <v>0</v>
      </c>
    </row>
    <row r="197" spans="1:27" x14ac:dyDescent="0.2">
      <c r="A197" s="77"/>
      <c r="B197" s="6" t="s">
        <v>23</v>
      </c>
      <c r="C197" s="7" t="s">
        <v>159</v>
      </c>
      <c r="D197" s="8"/>
      <c r="E197" s="8"/>
      <c r="F197" s="8" t="b">
        <v>0</v>
      </c>
      <c r="G197" s="29"/>
      <c r="H197" s="29"/>
      <c r="I197" s="29"/>
      <c r="J197" s="29">
        <v>131</v>
      </c>
      <c r="K197" s="29"/>
      <c r="L197" s="29"/>
      <c r="M197" s="29"/>
      <c r="N197" s="29"/>
      <c r="O197" s="29"/>
      <c r="P197" s="39"/>
      <c r="Q197" s="32" t="b">
        <f t="shared" si="1306"/>
        <v>0</v>
      </c>
      <c r="R197" s="9">
        <f t="shared" ref="R197" si="1888">IF($Q197=TRUE,G197*$D$1,0)</f>
        <v>0</v>
      </c>
      <c r="S197" s="9">
        <f t="shared" ref="S197" si="1889">IF($Q197=TRUE,H197*$D$1,0)</f>
        <v>0</v>
      </c>
      <c r="T197" s="9">
        <f t="shared" ref="T197" si="1890">IF($Q197=TRUE,I197*$D$1,0)</f>
        <v>0</v>
      </c>
      <c r="U197" s="9">
        <f t="shared" ref="U197" si="1891">IF($Q197=TRUE,J197*$D$1,0)</f>
        <v>0</v>
      </c>
      <c r="V197" s="9">
        <f t="shared" ref="V197" si="1892">IF($Q197=TRUE,K197*$D$1,0)</f>
        <v>0</v>
      </c>
      <c r="W197" s="9">
        <f t="shared" ref="W197" si="1893">IF($Q197=TRUE,L197*$D$1,0)</f>
        <v>0</v>
      </c>
      <c r="X197" s="9">
        <f t="shared" ref="X197" si="1894">IF($Q197=TRUE,M197*$D$1,0)</f>
        <v>0</v>
      </c>
      <c r="Y197" s="9">
        <f t="shared" ref="Y197" si="1895">IF($Q197=TRUE,N197*$D$1,0)</f>
        <v>0</v>
      </c>
      <c r="Z197" s="9">
        <f t="shared" ref="Z197" si="1896">IF($Q197=TRUE,O197*$D$1,0)</f>
        <v>0</v>
      </c>
      <c r="AA197" s="9">
        <f t="shared" ref="AA197" si="1897">IF($Q197=TRUE,P197*$D$1,0)</f>
        <v>0</v>
      </c>
    </row>
    <row r="198" spans="1:27" x14ac:dyDescent="0.2">
      <c r="A198" s="77"/>
      <c r="B198" s="10" t="s">
        <v>28</v>
      </c>
      <c r="C198" s="11" t="s">
        <v>159</v>
      </c>
      <c r="D198" s="12"/>
      <c r="E198" s="25"/>
      <c r="F198" s="25" t="b">
        <v>0</v>
      </c>
      <c r="G198" s="29"/>
      <c r="H198" s="29"/>
      <c r="I198" s="29"/>
      <c r="J198" s="29">
        <v>200</v>
      </c>
      <c r="K198" s="29"/>
      <c r="L198" s="29"/>
      <c r="M198" s="29"/>
      <c r="N198" s="29"/>
      <c r="O198" s="29"/>
      <c r="P198" s="39"/>
      <c r="Q198" s="33" t="b">
        <f t="shared" si="1317"/>
        <v>0</v>
      </c>
      <c r="R198" s="9">
        <f t="shared" ref="R198" si="1898">IF($Q198=TRUE,G198*$D$2,0)</f>
        <v>0</v>
      </c>
      <c r="S198" s="9">
        <f t="shared" ref="S198" si="1899">IF($Q198=TRUE,H198*$D$2,0)</f>
        <v>0</v>
      </c>
      <c r="T198" s="9">
        <f t="shared" ref="T198" si="1900">IF($Q198=TRUE,I198*$D$2,0)</f>
        <v>0</v>
      </c>
      <c r="U198" s="9">
        <f t="shared" ref="U198" si="1901">IF($Q198=TRUE,J198*$D$2,0)</f>
        <v>0</v>
      </c>
      <c r="V198" s="9">
        <f t="shared" ref="V198" si="1902">IF($Q198=TRUE,K198*$D$2,0)</f>
        <v>0</v>
      </c>
      <c r="W198" s="9">
        <f t="shared" ref="W198" si="1903">IF($Q198=TRUE,L198*$D$2,0)</f>
        <v>0</v>
      </c>
      <c r="X198" s="9">
        <f t="shared" ref="X198" si="1904">IF($Q198=TRUE,M198*$D$2,0)</f>
        <v>0</v>
      </c>
      <c r="Y198" s="9">
        <f t="shared" ref="Y198" si="1905">IF($Q198=TRUE,N198*$D$2,0)</f>
        <v>0</v>
      </c>
      <c r="Z198" s="9">
        <f t="shared" ref="Z198" si="1906">IF($Q198=TRUE,O198*$D$2,0)</f>
        <v>0</v>
      </c>
      <c r="AA198" s="9">
        <f t="shared" ref="AA198" si="1907">IF($Q198=TRUE,P198*$D$2,0)</f>
        <v>0</v>
      </c>
    </row>
    <row r="199" spans="1:27" x14ac:dyDescent="0.2">
      <c r="A199" s="77"/>
      <c r="B199" s="6" t="s">
        <v>23</v>
      </c>
      <c r="C199" s="7" t="s">
        <v>160</v>
      </c>
      <c r="D199" s="8"/>
      <c r="E199" s="8"/>
      <c r="F199" s="8" t="b">
        <v>0</v>
      </c>
      <c r="G199" s="29"/>
      <c r="H199" s="29"/>
      <c r="I199" s="29"/>
      <c r="J199" s="29">
        <v>144</v>
      </c>
      <c r="K199" s="29"/>
      <c r="L199" s="29"/>
      <c r="M199" s="29"/>
      <c r="N199" s="29"/>
      <c r="O199" s="29"/>
      <c r="P199" s="39"/>
      <c r="Q199" s="32" t="b">
        <f t="shared" si="1306"/>
        <v>0</v>
      </c>
      <c r="R199" s="9">
        <f t="shared" ref="R199" si="1908">IF($Q199=TRUE,G199*$D$1,0)</f>
        <v>0</v>
      </c>
      <c r="S199" s="9">
        <f t="shared" ref="S199" si="1909">IF($Q199=TRUE,H199*$D$1,0)</f>
        <v>0</v>
      </c>
      <c r="T199" s="9">
        <f t="shared" ref="T199" si="1910">IF($Q199=TRUE,I199*$D$1,0)</f>
        <v>0</v>
      </c>
      <c r="U199" s="9">
        <f t="shared" ref="U199" si="1911">IF($Q199=TRUE,J199*$D$1,0)</f>
        <v>0</v>
      </c>
      <c r="V199" s="9">
        <f t="shared" ref="V199" si="1912">IF($Q199=TRUE,K199*$D$1,0)</f>
        <v>0</v>
      </c>
      <c r="W199" s="9">
        <f t="shared" ref="W199" si="1913">IF($Q199=TRUE,L199*$D$1,0)</f>
        <v>0</v>
      </c>
      <c r="X199" s="9">
        <f t="shared" ref="X199" si="1914">IF($Q199=TRUE,M199*$D$1,0)</f>
        <v>0</v>
      </c>
      <c r="Y199" s="9">
        <f t="shared" ref="Y199" si="1915">IF($Q199=TRUE,N199*$D$1,0)</f>
        <v>0</v>
      </c>
      <c r="Z199" s="9">
        <f t="shared" ref="Z199" si="1916">IF($Q199=TRUE,O199*$D$1,0)</f>
        <v>0</v>
      </c>
      <c r="AA199" s="9">
        <f t="shared" ref="AA199" si="1917">IF($Q199=TRUE,P199*$D$1,0)</f>
        <v>0</v>
      </c>
    </row>
    <row r="200" spans="1:27" x14ac:dyDescent="0.2">
      <c r="A200" s="77"/>
      <c r="B200" s="10" t="s">
        <v>28</v>
      </c>
      <c r="C200" s="11" t="s">
        <v>160</v>
      </c>
      <c r="D200" s="12"/>
      <c r="E200" s="25"/>
      <c r="F200" s="25" t="b">
        <v>0</v>
      </c>
      <c r="G200" s="29"/>
      <c r="H200" s="29"/>
      <c r="I200" s="29"/>
      <c r="J200" s="29">
        <v>225</v>
      </c>
      <c r="K200" s="29"/>
      <c r="L200" s="29"/>
      <c r="M200" s="29"/>
      <c r="N200" s="29"/>
      <c r="O200" s="29"/>
      <c r="P200" s="39"/>
      <c r="Q200" s="33" t="b">
        <f t="shared" si="1317"/>
        <v>0</v>
      </c>
      <c r="R200" s="9">
        <f t="shared" ref="R200" si="1918">IF($Q200=TRUE,G200*$D$2,0)</f>
        <v>0</v>
      </c>
      <c r="S200" s="9">
        <f t="shared" ref="S200" si="1919">IF($Q200=TRUE,H200*$D$2,0)</f>
        <v>0</v>
      </c>
      <c r="T200" s="9">
        <f t="shared" ref="T200" si="1920">IF($Q200=TRUE,I200*$D$2,0)</f>
        <v>0</v>
      </c>
      <c r="U200" s="9">
        <f t="shared" ref="U200" si="1921">IF($Q200=TRUE,J200*$D$2,0)</f>
        <v>0</v>
      </c>
      <c r="V200" s="9">
        <f t="shared" ref="V200" si="1922">IF($Q200=TRUE,K200*$D$2,0)</f>
        <v>0</v>
      </c>
      <c r="W200" s="9">
        <f t="shared" ref="W200" si="1923">IF($Q200=TRUE,L200*$D$2,0)</f>
        <v>0</v>
      </c>
      <c r="X200" s="9">
        <f t="shared" ref="X200" si="1924">IF($Q200=TRUE,M200*$D$2,0)</f>
        <v>0</v>
      </c>
      <c r="Y200" s="9">
        <f t="shared" ref="Y200" si="1925">IF($Q200=TRUE,N200*$D$2,0)</f>
        <v>0</v>
      </c>
      <c r="Z200" s="9">
        <f t="shared" ref="Z200" si="1926">IF($Q200=TRUE,O200*$D$2,0)</f>
        <v>0</v>
      </c>
      <c r="AA200" s="9">
        <f t="shared" ref="AA200" si="1927">IF($Q200=TRUE,P200*$D$2,0)</f>
        <v>0</v>
      </c>
    </row>
    <row r="201" spans="1:27" x14ac:dyDescent="0.2">
      <c r="A201" s="77"/>
      <c r="B201" s="6" t="s">
        <v>23</v>
      </c>
      <c r="C201" s="7" t="s">
        <v>161</v>
      </c>
      <c r="D201" s="8"/>
      <c r="E201" s="8"/>
      <c r="F201" s="8" t="b">
        <v>0</v>
      </c>
      <c r="G201" s="29">
        <v>300</v>
      </c>
      <c r="H201" s="29"/>
      <c r="I201" s="29">
        <v>200</v>
      </c>
      <c r="J201" s="29">
        <v>150</v>
      </c>
      <c r="K201" s="29">
        <v>108</v>
      </c>
      <c r="L201" s="29"/>
      <c r="M201" s="29"/>
      <c r="N201" s="29"/>
      <c r="O201" s="29"/>
      <c r="P201" s="39"/>
      <c r="Q201" s="32" t="b">
        <f t="shared" si="1306"/>
        <v>0</v>
      </c>
      <c r="R201" s="9">
        <f t="shared" ref="R201" si="1928">IF($Q201=TRUE,G201*$D$1,0)</f>
        <v>0</v>
      </c>
      <c r="S201" s="9">
        <f t="shared" ref="S201" si="1929">IF($Q201=TRUE,H201*$D$1,0)</f>
        <v>0</v>
      </c>
      <c r="T201" s="9">
        <f t="shared" ref="T201" si="1930">IF($Q201=TRUE,I201*$D$1,0)</f>
        <v>0</v>
      </c>
      <c r="U201" s="9">
        <f t="shared" ref="U201" si="1931">IF($Q201=TRUE,J201*$D$1,0)</f>
        <v>0</v>
      </c>
      <c r="V201" s="9">
        <f t="shared" ref="V201" si="1932">IF($Q201=TRUE,K201*$D$1,0)</f>
        <v>0</v>
      </c>
      <c r="W201" s="9">
        <f t="shared" ref="W201" si="1933">IF($Q201=TRUE,L201*$D$1,0)</f>
        <v>0</v>
      </c>
      <c r="X201" s="9">
        <f t="shared" ref="X201" si="1934">IF($Q201=TRUE,M201*$D$1,0)</f>
        <v>0</v>
      </c>
      <c r="Y201" s="9">
        <f t="shared" ref="Y201" si="1935">IF($Q201=TRUE,N201*$D$1,0)</f>
        <v>0</v>
      </c>
      <c r="Z201" s="9">
        <f t="shared" ref="Z201" si="1936">IF($Q201=TRUE,O201*$D$1,0)</f>
        <v>0</v>
      </c>
      <c r="AA201" s="9">
        <f t="shared" ref="AA201" si="1937">IF($Q201=TRUE,P201*$D$1,0)</f>
        <v>0</v>
      </c>
    </row>
    <row r="202" spans="1:27" x14ac:dyDescent="0.2">
      <c r="A202" s="77"/>
      <c r="B202" s="10" t="s">
        <v>28</v>
      </c>
      <c r="C202" s="11" t="s">
        <v>161</v>
      </c>
      <c r="D202" s="12"/>
      <c r="E202" s="25"/>
      <c r="F202" s="25" t="b">
        <v>0</v>
      </c>
      <c r="G202" s="29">
        <v>500</v>
      </c>
      <c r="H202" s="29"/>
      <c r="I202" s="29">
        <v>300</v>
      </c>
      <c r="J202" s="29">
        <v>300</v>
      </c>
      <c r="K202" s="29">
        <v>108</v>
      </c>
      <c r="L202" s="29"/>
      <c r="M202" s="29"/>
      <c r="N202" s="29"/>
      <c r="O202" s="29"/>
      <c r="P202" s="39"/>
      <c r="Q202" s="33" t="b">
        <f t="shared" si="1317"/>
        <v>0</v>
      </c>
      <c r="R202" s="9">
        <f t="shared" ref="R202" si="1938">IF($Q202=TRUE,G202*$D$2,0)</f>
        <v>0</v>
      </c>
      <c r="S202" s="9">
        <f t="shared" ref="S202" si="1939">IF($Q202=TRUE,H202*$D$2,0)</f>
        <v>0</v>
      </c>
      <c r="T202" s="9">
        <f t="shared" ref="T202" si="1940">IF($Q202=TRUE,I202*$D$2,0)</f>
        <v>0</v>
      </c>
      <c r="U202" s="9">
        <f t="shared" ref="U202" si="1941">IF($Q202=TRUE,J202*$D$2,0)</f>
        <v>0</v>
      </c>
      <c r="V202" s="9">
        <f t="shared" ref="V202" si="1942">IF($Q202=TRUE,K202*$D$2,0)</f>
        <v>0</v>
      </c>
      <c r="W202" s="9">
        <f t="shared" ref="W202" si="1943">IF($Q202=TRUE,L202*$D$2,0)</f>
        <v>0</v>
      </c>
      <c r="X202" s="9">
        <f t="shared" ref="X202" si="1944">IF($Q202=TRUE,M202*$D$2,0)</f>
        <v>0</v>
      </c>
      <c r="Y202" s="9">
        <f t="shared" ref="Y202" si="1945">IF($Q202=TRUE,N202*$D$2,0)</f>
        <v>0</v>
      </c>
      <c r="Z202" s="9">
        <f t="shared" ref="Z202" si="1946">IF($Q202=TRUE,O202*$D$2,0)</f>
        <v>0</v>
      </c>
      <c r="AA202" s="9">
        <f t="shared" ref="AA202" si="1947">IF($Q202=TRUE,P202*$D$2,0)</f>
        <v>0</v>
      </c>
    </row>
    <row r="203" spans="1:27" x14ac:dyDescent="0.2">
      <c r="A203" s="77"/>
      <c r="B203" s="6" t="s">
        <v>23</v>
      </c>
      <c r="C203" s="7" t="s">
        <v>162</v>
      </c>
      <c r="D203" s="8"/>
      <c r="E203" s="8"/>
      <c r="F203" s="8" t="b">
        <v>0</v>
      </c>
      <c r="G203" s="29"/>
      <c r="H203" s="29"/>
      <c r="I203" s="29"/>
      <c r="J203" s="29">
        <v>188</v>
      </c>
      <c r="K203" s="29"/>
      <c r="L203" s="29"/>
      <c r="M203" s="29"/>
      <c r="N203" s="29"/>
      <c r="O203" s="29"/>
      <c r="P203" s="39"/>
      <c r="Q203" s="32" t="b">
        <f t="shared" ref="Q203:Q265" si="1948">AND($D$1&gt;0,F203=TRUE)</f>
        <v>0</v>
      </c>
      <c r="R203" s="9">
        <f t="shared" ref="R203" si="1949">IF($Q203=TRUE,G203*$D$1,0)</f>
        <v>0</v>
      </c>
      <c r="S203" s="9">
        <f t="shared" ref="S203" si="1950">IF($Q203=TRUE,H203*$D$1,0)</f>
        <v>0</v>
      </c>
      <c r="T203" s="9">
        <f t="shared" ref="T203" si="1951">IF($Q203=TRUE,I203*$D$1,0)</f>
        <v>0</v>
      </c>
      <c r="U203" s="9">
        <f t="shared" ref="U203" si="1952">IF($Q203=TRUE,J203*$D$1,0)</f>
        <v>0</v>
      </c>
      <c r="V203" s="9">
        <f t="shared" ref="V203" si="1953">IF($Q203=TRUE,K203*$D$1,0)</f>
        <v>0</v>
      </c>
      <c r="W203" s="9">
        <f t="shared" ref="W203" si="1954">IF($Q203=TRUE,L203*$D$1,0)</f>
        <v>0</v>
      </c>
      <c r="X203" s="9">
        <f t="shared" ref="X203" si="1955">IF($Q203=TRUE,M203*$D$1,0)</f>
        <v>0</v>
      </c>
      <c r="Y203" s="9">
        <f t="shared" ref="Y203" si="1956">IF($Q203=TRUE,N203*$D$1,0)</f>
        <v>0</v>
      </c>
      <c r="Z203" s="9">
        <f t="shared" ref="Z203" si="1957">IF($Q203=TRUE,O203*$D$1,0)</f>
        <v>0</v>
      </c>
      <c r="AA203" s="9">
        <f t="shared" ref="AA203" si="1958">IF($Q203=TRUE,P203*$D$1,0)</f>
        <v>0</v>
      </c>
    </row>
    <row r="204" spans="1:27" x14ac:dyDescent="0.2">
      <c r="A204" s="77"/>
      <c r="B204" s="10" t="s">
        <v>28</v>
      </c>
      <c r="C204" s="11" t="s">
        <v>162</v>
      </c>
      <c r="D204" s="12"/>
      <c r="E204" s="25"/>
      <c r="F204" s="25" t="b">
        <v>1</v>
      </c>
      <c r="G204" s="29"/>
      <c r="H204" s="29"/>
      <c r="I204" s="29"/>
      <c r="J204" s="29">
        <v>375</v>
      </c>
      <c r="K204" s="29"/>
      <c r="L204" s="29"/>
      <c r="M204" s="29"/>
      <c r="N204" s="29"/>
      <c r="O204" s="29"/>
      <c r="P204" s="39"/>
      <c r="Q204" s="33" t="b">
        <f t="shared" ref="Q204:Q266" si="1959">AND($D$2&gt;0,F204=TRUE)</f>
        <v>1</v>
      </c>
      <c r="R204" s="9">
        <f t="shared" ref="R204" si="1960">IF($Q204=TRUE,G204*$D$2,0)</f>
        <v>0</v>
      </c>
      <c r="S204" s="9">
        <f t="shared" ref="S204" si="1961">IF($Q204=TRUE,H204*$D$2,0)</f>
        <v>0</v>
      </c>
      <c r="T204" s="9">
        <f t="shared" ref="T204" si="1962">IF($Q204=TRUE,I204*$D$2,0)</f>
        <v>0</v>
      </c>
      <c r="U204" s="9">
        <f t="shared" ref="U204" si="1963">IF($Q204=TRUE,J204*$D$2,0)</f>
        <v>65550</v>
      </c>
      <c r="V204" s="9">
        <f t="shared" ref="V204" si="1964">IF($Q204=TRUE,K204*$D$2,0)</f>
        <v>0</v>
      </c>
      <c r="W204" s="9">
        <f t="shared" ref="W204" si="1965">IF($Q204=TRUE,L204*$D$2,0)</f>
        <v>0</v>
      </c>
      <c r="X204" s="9">
        <f t="shared" ref="X204" si="1966">IF($Q204=TRUE,M204*$D$2,0)</f>
        <v>0</v>
      </c>
      <c r="Y204" s="9">
        <f t="shared" ref="Y204" si="1967">IF($Q204=TRUE,N204*$D$2,0)</f>
        <v>0</v>
      </c>
      <c r="Z204" s="9">
        <f t="shared" ref="Z204" si="1968">IF($Q204=TRUE,O204*$D$2,0)</f>
        <v>0</v>
      </c>
      <c r="AA204" s="9">
        <f t="shared" ref="AA204" si="1969">IF($Q204=TRUE,P204*$D$2,0)</f>
        <v>0</v>
      </c>
    </row>
    <row r="205" spans="1:27" x14ac:dyDescent="0.2">
      <c r="A205" s="77"/>
      <c r="B205" s="6" t="s">
        <v>23</v>
      </c>
      <c r="C205" s="7" t="s">
        <v>163</v>
      </c>
      <c r="D205" s="8"/>
      <c r="E205" s="8"/>
      <c r="F205" s="8" t="b">
        <v>0</v>
      </c>
      <c r="G205" s="29"/>
      <c r="H205" s="29"/>
      <c r="I205" s="29"/>
      <c r="J205" s="29"/>
      <c r="K205" s="29"/>
      <c r="L205" s="29">
        <v>250</v>
      </c>
      <c r="M205" s="29"/>
      <c r="N205" s="29"/>
      <c r="O205" s="29"/>
      <c r="P205" s="39"/>
      <c r="Q205" s="32" t="b">
        <f t="shared" si="1948"/>
        <v>0</v>
      </c>
      <c r="R205" s="9">
        <f t="shared" ref="R205" si="1970">IF($Q205=TRUE,G205*$D$1,0)</f>
        <v>0</v>
      </c>
      <c r="S205" s="9">
        <f t="shared" ref="S205" si="1971">IF($Q205=TRUE,H205*$D$1,0)</f>
        <v>0</v>
      </c>
      <c r="T205" s="9">
        <f t="shared" ref="T205" si="1972">IF($Q205=TRUE,I205*$D$1,0)</f>
        <v>0</v>
      </c>
      <c r="U205" s="9">
        <f t="shared" ref="U205" si="1973">IF($Q205=TRUE,J205*$D$1,0)</f>
        <v>0</v>
      </c>
      <c r="V205" s="9">
        <f t="shared" ref="V205" si="1974">IF($Q205=TRUE,K205*$D$1,0)</f>
        <v>0</v>
      </c>
      <c r="W205" s="9">
        <f t="shared" ref="W205" si="1975">IF($Q205=TRUE,L205*$D$1,0)</f>
        <v>0</v>
      </c>
      <c r="X205" s="9">
        <f t="shared" ref="X205" si="1976">IF($Q205=TRUE,M205*$D$1,0)</f>
        <v>0</v>
      </c>
      <c r="Y205" s="9">
        <f t="shared" ref="Y205" si="1977">IF($Q205=TRUE,N205*$D$1,0)</f>
        <v>0</v>
      </c>
      <c r="Z205" s="9">
        <f t="shared" ref="Z205" si="1978">IF($Q205=TRUE,O205*$D$1,0)</f>
        <v>0</v>
      </c>
      <c r="AA205" s="9">
        <f t="shared" ref="AA205" si="1979">IF($Q205=TRUE,P205*$D$1,0)</f>
        <v>0</v>
      </c>
    </row>
    <row r="206" spans="1:27" x14ac:dyDescent="0.2">
      <c r="A206" s="77"/>
      <c r="B206" s="10" t="s">
        <v>28</v>
      </c>
      <c r="C206" s="11" t="s">
        <v>163</v>
      </c>
      <c r="D206" s="12"/>
      <c r="E206" s="25"/>
      <c r="F206" s="25" t="b">
        <v>0</v>
      </c>
      <c r="G206" s="29"/>
      <c r="H206" s="29"/>
      <c r="I206" s="29"/>
      <c r="J206" s="29"/>
      <c r="K206" s="29"/>
      <c r="L206" s="29">
        <v>300</v>
      </c>
      <c r="M206" s="29"/>
      <c r="N206" s="29"/>
      <c r="O206" s="29"/>
      <c r="P206" s="39"/>
      <c r="Q206" s="33" t="b">
        <f t="shared" si="1959"/>
        <v>0</v>
      </c>
      <c r="R206" s="9">
        <f t="shared" ref="R206" si="1980">IF($Q206=TRUE,G206*$D$2,0)</f>
        <v>0</v>
      </c>
      <c r="S206" s="9">
        <f t="shared" ref="S206" si="1981">IF($Q206=TRUE,H206*$D$2,0)</f>
        <v>0</v>
      </c>
      <c r="T206" s="9">
        <f t="shared" ref="T206" si="1982">IF($Q206=TRUE,I206*$D$2,0)</f>
        <v>0</v>
      </c>
      <c r="U206" s="9">
        <f t="shared" ref="U206" si="1983">IF($Q206=TRUE,J206*$D$2,0)</f>
        <v>0</v>
      </c>
      <c r="V206" s="9">
        <f t="shared" ref="V206" si="1984">IF($Q206=TRUE,K206*$D$2,0)</f>
        <v>0</v>
      </c>
      <c r="W206" s="9">
        <f t="shared" ref="W206" si="1985">IF($Q206=TRUE,L206*$D$2,0)</f>
        <v>0</v>
      </c>
      <c r="X206" s="9">
        <f t="shared" ref="X206" si="1986">IF($Q206=TRUE,M206*$D$2,0)</f>
        <v>0</v>
      </c>
      <c r="Y206" s="9">
        <f t="shared" ref="Y206" si="1987">IF($Q206=TRUE,N206*$D$2,0)</f>
        <v>0</v>
      </c>
      <c r="Z206" s="9">
        <f t="shared" ref="Z206" si="1988">IF($Q206=TRUE,O206*$D$2,0)</f>
        <v>0</v>
      </c>
      <c r="AA206" s="9">
        <f t="shared" ref="AA206" si="1989">IF($Q206=TRUE,P206*$D$2,0)</f>
        <v>0</v>
      </c>
    </row>
    <row r="207" spans="1:27" x14ac:dyDescent="0.2">
      <c r="A207" s="77"/>
      <c r="B207" s="6" t="s">
        <v>23</v>
      </c>
      <c r="C207" s="7" t="s">
        <v>164</v>
      </c>
      <c r="D207" s="8"/>
      <c r="E207" s="8"/>
      <c r="F207" s="8" t="b">
        <v>0</v>
      </c>
      <c r="G207" s="29"/>
      <c r="H207" s="29">
        <v>20</v>
      </c>
      <c r="I207" s="29"/>
      <c r="J207" s="29"/>
      <c r="K207" s="29"/>
      <c r="L207" s="29"/>
      <c r="M207" s="29"/>
      <c r="N207" s="29"/>
      <c r="O207" s="29"/>
      <c r="P207" s="39"/>
      <c r="Q207" s="32" t="b">
        <f t="shared" si="1948"/>
        <v>0</v>
      </c>
      <c r="R207" s="9">
        <f t="shared" ref="R207" si="1990">IF($Q207=TRUE,G207*$D$1,0)</f>
        <v>0</v>
      </c>
      <c r="S207" s="9">
        <f t="shared" ref="S207" si="1991">IF($Q207=TRUE,H207*$D$1,0)</f>
        <v>0</v>
      </c>
      <c r="T207" s="9">
        <f t="shared" ref="T207" si="1992">IF($Q207=TRUE,I207*$D$1,0)</f>
        <v>0</v>
      </c>
      <c r="U207" s="9">
        <f t="shared" ref="U207" si="1993">IF($Q207=TRUE,J207*$D$1,0)</f>
        <v>0</v>
      </c>
      <c r="V207" s="9">
        <f t="shared" ref="V207" si="1994">IF($Q207=TRUE,K207*$D$1,0)</f>
        <v>0</v>
      </c>
      <c r="W207" s="9">
        <f t="shared" ref="W207" si="1995">IF($Q207=TRUE,L207*$D$1,0)</f>
        <v>0</v>
      </c>
      <c r="X207" s="9">
        <f t="shared" ref="X207" si="1996">IF($Q207=TRUE,M207*$D$1,0)</f>
        <v>0</v>
      </c>
      <c r="Y207" s="9">
        <f t="shared" ref="Y207" si="1997">IF($Q207=TRUE,N207*$D$1,0)</f>
        <v>0</v>
      </c>
      <c r="Z207" s="9">
        <f t="shared" ref="Z207" si="1998">IF($Q207=TRUE,O207*$D$1,0)</f>
        <v>0</v>
      </c>
      <c r="AA207" s="9">
        <f t="shared" ref="AA207" si="1999">IF($Q207=TRUE,P207*$D$1,0)</f>
        <v>0</v>
      </c>
    </row>
    <row r="208" spans="1:27" x14ac:dyDescent="0.2">
      <c r="A208" s="77"/>
      <c r="B208" s="10" t="s">
        <v>28</v>
      </c>
      <c r="C208" s="11" t="s">
        <v>164</v>
      </c>
      <c r="D208" s="12"/>
      <c r="E208" s="25"/>
      <c r="F208" s="25" t="b">
        <v>0</v>
      </c>
      <c r="G208" s="29"/>
      <c r="H208" s="29">
        <v>40</v>
      </c>
      <c r="I208" s="29"/>
      <c r="J208" s="29"/>
      <c r="K208" s="29"/>
      <c r="L208" s="29"/>
      <c r="M208" s="29"/>
      <c r="N208" s="29"/>
      <c r="O208" s="29"/>
      <c r="P208" s="39"/>
      <c r="Q208" s="33" t="b">
        <f t="shared" si="1959"/>
        <v>0</v>
      </c>
      <c r="R208" s="9">
        <f t="shared" ref="R208" si="2000">IF($Q208=TRUE,G208*$D$2,0)</f>
        <v>0</v>
      </c>
      <c r="S208" s="9">
        <f t="shared" ref="S208" si="2001">IF($Q208=TRUE,H208*$D$2,0)</f>
        <v>0</v>
      </c>
      <c r="T208" s="9">
        <f t="shared" ref="T208" si="2002">IF($Q208=TRUE,I208*$D$2,0)</f>
        <v>0</v>
      </c>
      <c r="U208" s="9">
        <f t="shared" ref="U208" si="2003">IF($Q208=TRUE,J208*$D$2,0)</f>
        <v>0</v>
      </c>
      <c r="V208" s="9">
        <f t="shared" ref="V208" si="2004">IF($Q208=TRUE,K208*$D$2,0)</f>
        <v>0</v>
      </c>
      <c r="W208" s="9">
        <f t="shared" ref="W208" si="2005">IF($Q208=TRUE,L208*$D$2,0)</f>
        <v>0</v>
      </c>
      <c r="X208" s="9">
        <f t="shared" ref="X208" si="2006">IF($Q208=TRUE,M208*$D$2,0)</f>
        <v>0</v>
      </c>
      <c r="Y208" s="9">
        <f t="shared" ref="Y208" si="2007">IF($Q208=TRUE,N208*$D$2,0)</f>
        <v>0</v>
      </c>
      <c r="Z208" s="9">
        <f t="shared" ref="Z208" si="2008">IF($Q208=TRUE,O208*$D$2,0)</f>
        <v>0</v>
      </c>
      <c r="AA208" s="9">
        <f t="shared" ref="AA208" si="2009">IF($Q208=TRUE,P208*$D$2,0)</f>
        <v>0</v>
      </c>
    </row>
    <row r="209" spans="1:27" x14ac:dyDescent="0.2">
      <c r="A209" s="77"/>
      <c r="B209" s="6" t="s">
        <v>23</v>
      </c>
      <c r="C209" s="7" t="s">
        <v>165</v>
      </c>
      <c r="D209" s="8"/>
      <c r="E209" s="8"/>
      <c r="F209" s="8" t="b">
        <v>0</v>
      </c>
      <c r="G209" s="29"/>
      <c r="H209" s="29">
        <v>25</v>
      </c>
      <c r="I209" s="29"/>
      <c r="J209" s="29"/>
      <c r="K209" s="29"/>
      <c r="L209" s="29"/>
      <c r="M209" s="29"/>
      <c r="N209" s="29"/>
      <c r="O209" s="29"/>
      <c r="P209" s="39"/>
      <c r="Q209" s="32" t="b">
        <f t="shared" si="1948"/>
        <v>0</v>
      </c>
      <c r="R209" s="9">
        <f t="shared" ref="R209" si="2010">IF($Q209=TRUE,G209*$D$1,0)</f>
        <v>0</v>
      </c>
      <c r="S209" s="9">
        <f t="shared" ref="S209" si="2011">IF($Q209=TRUE,H209*$D$1,0)</f>
        <v>0</v>
      </c>
      <c r="T209" s="9">
        <f t="shared" ref="T209" si="2012">IF($Q209=TRUE,I209*$D$1,0)</f>
        <v>0</v>
      </c>
      <c r="U209" s="9">
        <f t="shared" ref="U209" si="2013">IF($Q209=TRUE,J209*$D$1,0)</f>
        <v>0</v>
      </c>
      <c r="V209" s="9">
        <f t="shared" ref="V209" si="2014">IF($Q209=TRUE,K209*$D$1,0)</f>
        <v>0</v>
      </c>
      <c r="W209" s="9">
        <f t="shared" ref="W209" si="2015">IF($Q209=TRUE,L209*$D$1,0)</f>
        <v>0</v>
      </c>
      <c r="X209" s="9">
        <f t="shared" ref="X209" si="2016">IF($Q209=TRUE,M209*$D$1,0)</f>
        <v>0</v>
      </c>
      <c r="Y209" s="9">
        <f t="shared" ref="Y209" si="2017">IF($Q209=TRUE,N209*$D$1,0)</f>
        <v>0</v>
      </c>
      <c r="Z209" s="9">
        <f t="shared" ref="Z209" si="2018">IF($Q209=TRUE,O209*$D$1,0)</f>
        <v>0</v>
      </c>
      <c r="AA209" s="9">
        <f t="shared" ref="AA209" si="2019">IF($Q209=TRUE,P209*$D$1,0)</f>
        <v>0</v>
      </c>
    </row>
    <row r="210" spans="1:27" x14ac:dyDescent="0.2">
      <c r="A210" s="77"/>
      <c r="B210" s="10" t="s">
        <v>28</v>
      </c>
      <c r="C210" s="11" t="s">
        <v>165</v>
      </c>
      <c r="D210" s="12"/>
      <c r="E210" s="25"/>
      <c r="F210" s="25" t="b">
        <v>0</v>
      </c>
      <c r="G210" s="29"/>
      <c r="H210" s="29">
        <v>35</v>
      </c>
      <c r="I210" s="29"/>
      <c r="J210" s="29"/>
      <c r="K210" s="29"/>
      <c r="L210" s="29"/>
      <c r="M210" s="29"/>
      <c r="N210" s="29"/>
      <c r="O210" s="29"/>
      <c r="P210" s="39"/>
      <c r="Q210" s="33" t="b">
        <f t="shared" si="1959"/>
        <v>0</v>
      </c>
      <c r="R210" s="9">
        <f t="shared" ref="R210" si="2020">IF($Q210=TRUE,G210*$D$2,0)</f>
        <v>0</v>
      </c>
      <c r="S210" s="9">
        <f t="shared" ref="S210" si="2021">IF($Q210=TRUE,H210*$D$2,0)</f>
        <v>0</v>
      </c>
      <c r="T210" s="9">
        <f t="shared" ref="T210" si="2022">IF($Q210=TRUE,I210*$D$2,0)</f>
        <v>0</v>
      </c>
      <c r="U210" s="9">
        <f t="shared" ref="U210" si="2023">IF($Q210=TRUE,J210*$D$2,0)</f>
        <v>0</v>
      </c>
      <c r="V210" s="9">
        <f t="shared" ref="V210" si="2024">IF($Q210=TRUE,K210*$D$2,0)</f>
        <v>0</v>
      </c>
      <c r="W210" s="9">
        <f t="shared" ref="W210" si="2025">IF($Q210=TRUE,L210*$D$2,0)</f>
        <v>0</v>
      </c>
      <c r="X210" s="9">
        <f t="shared" ref="X210" si="2026">IF($Q210=TRUE,M210*$D$2,0)</f>
        <v>0</v>
      </c>
      <c r="Y210" s="9">
        <f t="shared" ref="Y210" si="2027">IF($Q210=TRUE,N210*$D$2,0)</f>
        <v>0</v>
      </c>
      <c r="Z210" s="9">
        <f t="shared" ref="Z210" si="2028">IF($Q210=TRUE,O210*$D$2,0)</f>
        <v>0</v>
      </c>
      <c r="AA210" s="9">
        <f t="shared" ref="AA210" si="2029">IF($Q210=TRUE,P210*$D$2,0)</f>
        <v>0</v>
      </c>
    </row>
    <row r="211" spans="1:27" x14ac:dyDescent="0.2">
      <c r="A211" s="77"/>
      <c r="B211" s="6" t="s">
        <v>23</v>
      </c>
      <c r="C211" s="7" t="s">
        <v>166</v>
      </c>
      <c r="D211" s="8"/>
      <c r="E211" s="8"/>
      <c r="F211" s="8" t="b">
        <v>0</v>
      </c>
      <c r="G211" s="29"/>
      <c r="H211" s="29">
        <v>50</v>
      </c>
      <c r="I211" s="29"/>
      <c r="J211" s="29"/>
      <c r="K211" s="29"/>
      <c r="L211" s="29"/>
      <c r="M211" s="29"/>
      <c r="N211" s="29"/>
      <c r="O211" s="29"/>
      <c r="P211" s="39"/>
      <c r="Q211" s="32" t="b">
        <f t="shared" si="1948"/>
        <v>0</v>
      </c>
      <c r="R211" s="9">
        <f t="shared" ref="R211" si="2030">IF($Q211=TRUE,G211*$D$1,0)</f>
        <v>0</v>
      </c>
      <c r="S211" s="9">
        <f t="shared" ref="S211" si="2031">IF($Q211=TRUE,H211*$D$1,0)</f>
        <v>0</v>
      </c>
      <c r="T211" s="9">
        <f t="shared" ref="T211" si="2032">IF($Q211=TRUE,I211*$D$1,0)</f>
        <v>0</v>
      </c>
      <c r="U211" s="9">
        <f t="shared" ref="U211" si="2033">IF($Q211=TRUE,J211*$D$1,0)</f>
        <v>0</v>
      </c>
      <c r="V211" s="9">
        <f t="shared" ref="V211" si="2034">IF($Q211=TRUE,K211*$D$1,0)</f>
        <v>0</v>
      </c>
      <c r="W211" s="9">
        <f t="shared" ref="W211" si="2035">IF($Q211=TRUE,L211*$D$1,0)</f>
        <v>0</v>
      </c>
      <c r="X211" s="9">
        <f t="shared" ref="X211" si="2036">IF($Q211=TRUE,M211*$D$1,0)</f>
        <v>0</v>
      </c>
      <c r="Y211" s="9">
        <f t="shared" ref="Y211" si="2037">IF($Q211=TRUE,N211*$D$1,0)</f>
        <v>0</v>
      </c>
      <c r="Z211" s="9">
        <f t="shared" ref="Z211" si="2038">IF($Q211=TRUE,O211*$D$1,0)</f>
        <v>0</v>
      </c>
      <c r="AA211" s="9">
        <f t="shared" ref="AA211" si="2039">IF($Q211=TRUE,P211*$D$1,0)</f>
        <v>0</v>
      </c>
    </row>
    <row r="212" spans="1:27" x14ac:dyDescent="0.2">
      <c r="A212" s="77"/>
      <c r="B212" s="10" t="s">
        <v>28</v>
      </c>
      <c r="C212" s="11" t="s">
        <v>166</v>
      </c>
      <c r="D212" s="12"/>
      <c r="E212" s="25"/>
      <c r="F212" s="25" t="b">
        <v>0</v>
      </c>
      <c r="G212" s="29"/>
      <c r="H212" s="29">
        <v>90</v>
      </c>
      <c r="I212" s="29"/>
      <c r="J212" s="29"/>
      <c r="K212" s="29"/>
      <c r="L212" s="29"/>
      <c r="M212" s="29"/>
      <c r="N212" s="29"/>
      <c r="O212" s="29"/>
      <c r="P212" s="39"/>
      <c r="Q212" s="33" t="b">
        <f t="shared" si="1959"/>
        <v>0</v>
      </c>
      <c r="R212" s="9">
        <f t="shared" ref="R212" si="2040">IF($Q212=TRUE,G212*$D$2,0)</f>
        <v>0</v>
      </c>
      <c r="S212" s="9">
        <f t="shared" ref="S212" si="2041">IF($Q212=TRUE,H212*$D$2,0)</f>
        <v>0</v>
      </c>
      <c r="T212" s="9">
        <f t="shared" ref="T212" si="2042">IF($Q212=TRUE,I212*$D$2,0)</f>
        <v>0</v>
      </c>
      <c r="U212" s="9">
        <f t="shared" ref="U212" si="2043">IF($Q212=TRUE,J212*$D$2,0)</f>
        <v>0</v>
      </c>
      <c r="V212" s="9">
        <f t="shared" ref="V212" si="2044">IF($Q212=TRUE,K212*$D$2,0)</f>
        <v>0</v>
      </c>
      <c r="W212" s="9">
        <f t="shared" ref="W212" si="2045">IF($Q212=TRUE,L212*$D$2,0)</f>
        <v>0</v>
      </c>
      <c r="X212" s="9">
        <f t="shared" ref="X212" si="2046">IF($Q212=TRUE,M212*$D$2,0)</f>
        <v>0</v>
      </c>
      <c r="Y212" s="9">
        <f t="shared" ref="Y212" si="2047">IF($Q212=TRUE,N212*$D$2,0)</f>
        <v>0</v>
      </c>
      <c r="Z212" s="9">
        <f t="shared" ref="Z212" si="2048">IF($Q212=TRUE,O212*$D$2,0)</f>
        <v>0</v>
      </c>
      <c r="AA212" s="9">
        <f t="shared" ref="AA212" si="2049">IF($Q212=TRUE,P212*$D$2,0)</f>
        <v>0</v>
      </c>
    </row>
    <row r="213" spans="1:27" x14ac:dyDescent="0.2">
      <c r="A213" s="77"/>
      <c r="B213" s="6" t="s">
        <v>23</v>
      </c>
      <c r="C213" s="7" t="s">
        <v>167</v>
      </c>
      <c r="D213" s="8"/>
      <c r="E213" s="8"/>
      <c r="F213" s="8" t="b">
        <v>0</v>
      </c>
      <c r="G213" s="29"/>
      <c r="H213" s="29"/>
      <c r="I213" s="29"/>
      <c r="J213" s="29"/>
      <c r="K213" s="29"/>
      <c r="L213" s="29"/>
      <c r="M213" s="29"/>
      <c r="N213" s="29">
        <v>60.88</v>
      </c>
      <c r="O213" s="29"/>
      <c r="P213" s="39"/>
      <c r="Q213" s="32" t="b">
        <f t="shared" si="1948"/>
        <v>0</v>
      </c>
      <c r="R213" s="9">
        <f t="shared" ref="R213" si="2050">IF($Q213=TRUE,G213*$D$1,0)</f>
        <v>0</v>
      </c>
      <c r="S213" s="9">
        <f t="shared" ref="S213" si="2051">IF($Q213=TRUE,H213*$D$1,0)</f>
        <v>0</v>
      </c>
      <c r="T213" s="9">
        <f t="shared" ref="T213" si="2052">IF($Q213=TRUE,I213*$D$1,0)</f>
        <v>0</v>
      </c>
      <c r="U213" s="9">
        <f t="shared" ref="U213" si="2053">IF($Q213=TRUE,J213*$D$1,0)</f>
        <v>0</v>
      </c>
      <c r="V213" s="9">
        <f t="shared" ref="V213" si="2054">IF($Q213=TRUE,K213*$D$1,0)</f>
        <v>0</v>
      </c>
      <c r="W213" s="9">
        <f t="shared" ref="W213" si="2055">IF($Q213=TRUE,L213*$D$1,0)</f>
        <v>0</v>
      </c>
      <c r="X213" s="9">
        <f t="shared" ref="X213" si="2056">IF($Q213=TRUE,M213*$D$1,0)</f>
        <v>0</v>
      </c>
      <c r="Y213" s="9">
        <f t="shared" ref="Y213" si="2057">IF($Q213=TRUE,N213*$D$1,0)</f>
        <v>0</v>
      </c>
      <c r="Z213" s="9">
        <f t="shared" ref="Z213" si="2058">IF($Q213=TRUE,O213*$D$1,0)</f>
        <v>0</v>
      </c>
      <c r="AA213" s="9">
        <f t="shared" ref="AA213" si="2059">IF($Q213=TRUE,P213*$D$1,0)</f>
        <v>0</v>
      </c>
    </row>
    <row r="214" spans="1:27" x14ac:dyDescent="0.2">
      <c r="A214" s="77"/>
      <c r="B214" s="10" t="s">
        <v>28</v>
      </c>
      <c r="C214" s="11" t="s">
        <v>167</v>
      </c>
      <c r="D214" s="12"/>
      <c r="E214" s="25"/>
      <c r="F214" s="25" t="b">
        <v>0</v>
      </c>
      <c r="G214" s="29"/>
      <c r="H214" s="29"/>
      <c r="I214" s="29"/>
      <c r="J214" s="29"/>
      <c r="K214" s="29"/>
      <c r="L214" s="29"/>
      <c r="M214" s="29"/>
      <c r="N214" s="29">
        <v>155.74</v>
      </c>
      <c r="O214" s="29"/>
      <c r="P214" s="39"/>
      <c r="Q214" s="33" t="b">
        <f t="shared" si="1959"/>
        <v>0</v>
      </c>
      <c r="R214" s="9">
        <f t="shared" ref="R214" si="2060">IF($Q214=TRUE,G214*$D$2,0)</f>
        <v>0</v>
      </c>
      <c r="S214" s="9">
        <f t="shared" ref="S214" si="2061">IF($Q214=TRUE,H214*$D$2,0)</f>
        <v>0</v>
      </c>
      <c r="T214" s="9">
        <f t="shared" ref="T214" si="2062">IF($Q214=TRUE,I214*$D$2,0)</f>
        <v>0</v>
      </c>
      <c r="U214" s="9">
        <f t="shared" ref="U214" si="2063">IF($Q214=TRUE,J214*$D$2,0)</f>
        <v>0</v>
      </c>
      <c r="V214" s="9">
        <f t="shared" ref="V214" si="2064">IF($Q214=TRUE,K214*$D$2,0)</f>
        <v>0</v>
      </c>
      <c r="W214" s="9">
        <f t="shared" ref="W214" si="2065">IF($Q214=TRUE,L214*$D$2,0)</f>
        <v>0</v>
      </c>
      <c r="X214" s="9">
        <f t="shared" ref="X214" si="2066">IF($Q214=TRUE,M214*$D$2,0)</f>
        <v>0</v>
      </c>
      <c r="Y214" s="9">
        <f t="shared" ref="Y214" si="2067">IF($Q214=TRUE,N214*$D$2,0)</f>
        <v>0</v>
      </c>
      <c r="Z214" s="9">
        <f t="shared" ref="Z214" si="2068">IF($Q214=TRUE,O214*$D$2,0)</f>
        <v>0</v>
      </c>
      <c r="AA214" s="9">
        <f t="shared" ref="AA214" si="2069">IF($Q214=TRUE,P214*$D$2,0)</f>
        <v>0</v>
      </c>
    </row>
    <row r="215" spans="1:27" x14ac:dyDescent="0.2">
      <c r="A215" s="77"/>
      <c r="B215" s="6" t="s">
        <v>23</v>
      </c>
      <c r="C215" s="7" t="s">
        <v>168</v>
      </c>
      <c r="D215" s="8"/>
      <c r="E215" s="8"/>
      <c r="F215" s="8" t="b">
        <v>0</v>
      </c>
      <c r="G215" s="29"/>
      <c r="H215" s="29"/>
      <c r="I215" s="29"/>
      <c r="J215" s="29"/>
      <c r="K215" s="29"/>
      <c r="L215" s="29"/>
      <c r="M215" s="29"/>
      <c r="N215" s="29">
        <v>105.88</v>
      </c>
      <c r="O215" s="29"/>
      <c r="P215" s="39"/>
      <c r="Q215" s="32" t="b">
        <f t="shared" si="1948"/>
        <v>0</v>
      </c>
      <c r="R215" s="9">
        <f t="shared" ref="R215" si="2070">IF($Q215=TRUE,G215*$D$1,0)</f>
        <v>0</v>
      </c>
      <c r="S215" s="9">
        <f t="shared" ref="S215" si="2071">IF($Q215=TRUE,H215*$D$1,0)</f>
        <v>0</v>
      </c>
      <c r="T215" s="9">
        <f t="shared" ref="T215" si="2072">IF($Q215=TRUE,I215*$D$1,0)</f>
        <v>0</v>
      </c>
      <c r="U215" s="9">
        <f t="shared" ref="U215" si="2073">IF($Q215=TRUE,J215*$D$1,0)</f>
        <v>0</v>
      </c>
      <c r="V215" s="9">
        <f t="shared" ref="V215" si="2074">IF($Q215=TRUE,K215*$D$1,0)</f>
        <v>0</v>
      </c>
      <c r="W215" s="9">
        <f t="shared" ref="W215" si="2075">IF($Q215=TRUE,L215*$D$1,0)</f>
        <v>0</v>
      </c>
      <c r="X215" s="9">
        <f t="shared" ref="X215" si="2076">IF($Q215=TRUE,M215*$D$1,0)</f>
        <v>0</v>
      </c>
      <c r="Y215" s="9">
        <f t="shared" ref="Y215" si="2077">IF($Q215=TRUE,N215*$D$1,0)</f>
        <v>0</v>
      </c>
      <c r="Z215" s="9">
        <f t="shared" ref="Z215" si="2078">IF($Q215=TRUE,O215*$D$1,0)</f>
        <v>0</v>
      </c>
      <c r="AA215" s="9">
        <f t="shared" ref="AA215" si="2079">IF($Q215=TRUE,P215*$D$1,0)</f>
        <v>0</v>
      </c>
    </row>
    <row r="216" spans="1:27" x14ac:dyDescent="0.2">
      <c r="A216" s="77"/>
      <c r="B216" s="10" t="s">
        <v>28</v>
      </c>
      <c r="C216" s="11" t="s">
        <v>168</v>
      </c>
      <c r="D216" s="12"/>
      <c r="E216" s="25"/>
      <c r="F216" s="25" t="b">
        <v>0</v>
      </c>
      <c r="G216" s="29"/>
      <c r="H216" s="29"/>
      <c r="I216" s="29"/>
      <c r="J216" s="29"/>
      <c r="K216" s="29"/>
      <c r="L216" s="29"/>
      <c r="M216" s="29"/>
      <c r="N216" s="29">
        <v>200.74</v>
      </c>
      <c r="O216" s="29"/>
      <c r="P216" s="39"/>
      <c r="Q216" s="33" t="b">
        <f t="shared" si="1959"/>
        <v>0</v>
      </c>
      <c r="R216" s="9">
        <f t="shared" ref="R216" si="2080">IF($Q216=TRUE,G216*$D$2,0)</f>
        <v>0</v>
      </c>
      <c r="S216" s="9">
        <f t="shared" ref="S216" si="2081">IF($Q216=TRUE,H216*$D$2,0)</f>
        <v>0</v>
      </c>
      <c r="T216" s="9">
        <f t="shared" ref="T216" si="2082">IF($Q216=TRUE,I216*$D$2,0)</f>
        <v>0</v>
      </c>
      <c r="U216" s="9">
        <f t="shared" ref="U216" si="2083">IF($Q216=TRUE,J216*$D$2,0)</f>
        <v>0</v>
      </c>
      <c r="V216" s="9">
        <f t="shared" ref="V216" si="2084">IF($Q216=TRUE,K216*$D$2,0)</f>
        <v>0</v>
      </c>
      <c r="W216" s="9">
        <f t="shared" ref="W216" si="2085">IF($Q216=TRUE,L216*$D$2,0)</f>
        <v>0</v>
      </c>
      <c r="X216" s="9">
        <f t="shared" ref="X216" si="2086">IF($Q216=TRUE,M216*$D$2,0)</f>
        <v>0</v>
      </c>
      <c r="Y216" s="9">
        <f t="shared" ref="Y216" si="2087">IF($Q216=TRUE,N216*$D$2,0)</f>
        <v>0</v>
      </c>
      <c r="Z216" s="9">
        <f t="shared" ref="Z216" si="2088">IF($Q216=TRUE,O216*$D$2,0)</f>
        <v>0</v>
      </c>
      <c r="AA216" s="9">
        <f t="shared" ref="AA216" si="2089">IF($Q216=TRUE,P216*$D$2,0)</f>
        <v>0</v>
      </c>
    </row>
    <row r="217" spans="1:27" x14ac:dyDescent="0.2">
      <c r="A217" s="77"/>
      <c r="B217" s="6" t="s">
        <v>23</v>
      </c>
      <c r="C217" s="7" t="s">
        <v>169</v>
      </c>
      <c r="D217" s="8"/>
      <c r="E217" s="8"/>
      <c r="F217" s="8" t="b">
        <v>0</v>
      </c>
      <c r="G217" s="29"/>
      <c r="H217" s="29"/>
      <c r="I217" s="29"/>
      <c r="J217" s="29"/>
      <c r="K217" s="29"/>
      <c r="L217" s="29"/>
      <c r="M217" s="29"/>
      <c r="N217" s="29"/>
      <c r="O217" s="29"/>
      <c r="P217" s="39"/>
      <c r="Q217" s="32" t="b">
        <f t="shared" si="1948"/>
        <v>0</v>
      </c>
      <c r="R217" s="9">
        <f t="shared" ref="R217" si="2090">IF($Q217=TRUE,G217*$D$1,0)</f>
        <v>0</v>
      </c>
      <c r="S217" s="9">
        <f t="shared" ref="S217" si="2091">IF($Q217=TRUE,H217*$D$1,0)</f>
        <v>0</v>
      </c>
      <c r="T217" s="9">
        <f t="shared" ref="T217" si="2092">IF($Q217=TRUE,I217*$D$1,0)</f>
        <v>0</v>
      </c>
      <c r="U217" s="9">
        <f t="shared" ref="U217" si="2093">IF($Q217=TRUE,J217*$D$1,0)</f>
        <v>0</v>
      </c>
      <c r="V217" s="9">
        <f t="shared" ref="V217" si="2094">IF($Q217=TRUE,K217*$D$1,0)</f>
        <v>0</v>
      </c>
      <c r="W217" s="9">
        <f t="shared" ref="W217" si="2095">IF($Q217=TRUE,L217*$D$1,0)</f>
        <v>0</v>
      </c>
      <c r="X217" s="9">
        <f t="shared" ref="X217" si="2096">IF($Q217=TRUE,M217*$D$1,0)</f>
        <v>0</v>
      </c>
      <c r="Y217" s="9">
        <f t="shared" ref="Y217" si="2097">IF($Q217=TRUE,N217*$D$1,0)</f>
        <v>0</v>
      </c>
      <c r="Z217" s="9">
        <f t="shared" ref="Z217" si="2098">IF($Q217=TRUE,O217*$D$1,0)</f>
        <v>0</v>
      </c>
      <c r="AA217" s="9">
        <f t="shared" ref="AA217" si="2099">IF($Q217=TRUE,P217*$D$1,0)</f>
        <v>0</v>
      </c>
    </row>
    <row r="218" spans="1:27" x14ac:dyDescent="0.2">
      <c r="A218" s="77"/>
      <c r="B218" s="10" t="s">
        <v>28</v>
      </c>
      <c r="C218" s="11" t="s">
        <v>169</v>
      </c>
      <c r="D218" s="12"/>
      <c r="E218" s="25"/>
      <c r="F218" s="25" t="b">
        <v>0</v>
      </c>
      <c r="G218" s="29"/>
      <c r="H218" s="29"/>
      <c r="I218" s="29"/>
      <c r="J218" s="29"/>
      <c r="K218" s="29"/>
      <c r="L218" s="29"/>
      <c r="M218" s="29"/>
      <c r="N218" s="29">
        <v>150.5</v>
      </c>
      <c r="O218" s="29"/>
      <c r="P218" s="39"/>
      <c r="Q218" s="33" t="b">
        <f t="shared" si="1959"/>
        <v>0</v>
      </c>
      <c r="R218" s="9">
        <f t="shared" ref="R218" si="2100">IF($Q218=TRUE,G218*$D$2,0)</f>
        <v>0</v>
      </c>
      <c r="S218" s="9">
        <f t="shared" ref="S218" si="2101">IF($Q218=TRUE,H218*$D$2,0)</f>
        <v>0</v>
      </c>
      <c r="T218" s="9">
        <f t="shared" ref="T218" si="2102">IF($Q218=TRUE,I218*$D$2,0)</f>
        <v>0</v>
      </c>
      <c r="U218" s="9">
        <f t="shared" ref="U218" si="2103">IF($Q218=TRUE,J218*$D$2,0)</f>
        <v>0</v>
      </c>
      <c r="V218" s="9">
        <f t="shared" ref="V218" si="2104">IF($Q218=TRUE,K218*$D$2,0)</f>
        <v>0</v>
      </c>
      <c r="W218" s="9">
        <f t="shared" ref="W218" si="2105">IF($Q218=TRUE,L218*$D$2,0)</f>
        <v>0</v>
      </c>
      <c r="X218" s="9">
        <f t="shared" ref="X218" si="2106">IF($Q218=TRUE,M218*$D$2,0)</f>
        <v>0</v>
      </c>
      <c r="Y218" s="9">
        <f t="shared" ref="Y218" si="2107">IF($Q218=TRUE,N218*$D$2,0)</f>
        <v>0</v>
      </c>
      <c r="Z218" s="9">
        <f t="shared" ref="Z218" si="2108">IF($Q218=TRUE,O218*$D$2,0)</f>
        <v>0</v>
      </c>
      <c r="AA218" s="9">
        <f t="shared" ref="AA218" si="2109">IF($Q218=TRUE,P218*$D$2,0)</f>
        <v>0</v>
      </c>
    </row>
    <row r="219" spans="1:27" x14ac:dyDescent="0.2">
      <c r="A219" s="77"/>
      <c r="B219" s="6" t="s">
        <v>23</v>
      </c>
      <c r="C219" s="7" t="s">
        <v>170</v>
      </c>
      <c r="D219" s="8"/>
      <c r="E219" s="8"/>
      <c r="F219" s="8" t="b">
        <v>0</v>
      </c>
      <c r="G219" s="29"/>
      <c r="H219" s="29">
        <v>25</v>
      </c>
      <c r="I219" s="29"/>
      <c r="J219" s="29"/>
      <c r="K219" s="29"/>
      <c r="L219" s="29"/>
      <c r="M219" s="29"/>
      <c r="N219" s="29">
        <v>72.94</v>
      </c>
      <c r="O219" s="29"/>
      <c r="P219" s="39"/>
      <c r="Q219" s="32" t="b">
        <f t="shared" si="1948"/>
        <v>0</v>
      </c>
      <c r="R219" s="9">
        <f t="shared" ref="R219" si="2110">IF($Q219=TRUE,G219*$D$1,0)</f>
        <v>0</v>
      </c>
      <c r="S219" s="9">
        <f t="shared" ref="S219" si="2111">IF($Q219=TRUE,H219*$D$1,0)</f>
        <v>0</v>
      </c>
      <c r="T219" s="9">
        <f t="shared" ref="T219" si="2112">IF($Q219=TRUE,I219*$D$1,0)</f>
        <v>0</v>
      </c>
      <c r="U219" s="9">
        <f t="shared" ref="U219" si="2113">IF($Q219=TRUE,J219*$D$1,0)</f>
        <v>0</v>
      </c>
      <c r="V219" s="9">
        <f t="shared" ref="V219" si="2114">IF($Q219=TRUE,K219*$D$1,0)</f>
        <v>0</v>
      </c>
      <c r="W219" s="9">
        <f t="shared" ref="W219" si="2115">IF($Q219=TRUE,L219*$D$1,0)</f>
        <v>0</v>
      </c>
      <c r="X219" s="9">
        <f t="shared" ref="X219" si="2116">IF($Q219=TRUE,M219*$D$1,0)</f>
        <v>0</v>
      </c>
      <c r="Y219" s="9">
        <f t="shared" ref="Y219" si="2117">IF($Q219=TRUE,N219*$D$1,0)</f>
        <v>0</v>
      </c>
      <c r="Z219" s="9">
        <f t="shared" ref="Z219" si="2118">IF($Q219=TRUE,O219*$D$1,0)</f>
        <v>0</v>
      </c>
      <c r="AA219" s="9">
        <f t="shared" ref="AA219" si="2119">IF($Q219=TRUE,P219*$D$1,0)</f>
        <v>0</v>
      </c>
    </row>
    <row r="220" spans="1:27" x14ac:dyDescent="0.2">
      <c r="A220" s="77"/>
      <c r="B220" s="10" t="s">
        <v>28</v>
      </c>
      <c r="C220" s="11" t="s">
        <v>170</v>
      </c>
      <c r="D220" s="12"/>
      <c r="E220" s="25"/>
      <c r="F220" s="25" t="b">
        <v>0</v>
      </c>
      <c r="G220" s="29"/>
      <c r="H220" s="29">
        <v>50</v>
      </c>
      <c r="I220" s="29"/>
      <c r="J220" s="29"/>
      <c r="K220" s="29"/>
      <c r="L220" s="29"/>
      <c r="M220" s="29"/>
      <c r="N220" s="29">
        <v>186.59</v>
      </c>
      <c r="O220" s="29"/>
      <c r="P220" s="39"/>
      <c r="Q220" s="33" t="b">
        <f t="shared" si="1959"/>
        <v>0</v>
      </c>
      <c r="R220" s="9">
        <f t="shared" ref="R220" si="2120">IF($Q220=TRUE,G220*$D$2,0)</f>
        <v>0</v>
      </c>
      <c r="S220" s="9">
        <f t="shared" ref="S220" si="2121">IF($Q220=TRUE,H220*$D$2,0)</f>
        <v>0</v>
      </c>
      <c r="T220" s="9">
        <f t="shared" ref="T220" si="2122">IF($Q220=TRUE,I220*$D$2,0)</f>
        <v>0</v>
      </c>
      <c r="U220" s="9">
        <f t="shared" ref="U220" si="2123">IF($Q220=TRUE,J220*$D$2,0)</f>
        <v>0</v>
      </c>
      <c r="V220" s="9">
        <f t="shared" ref="V220" si="2124">IF($Q220=TRUE,K220*$D$2,0)</f>
        <v>0</v>
      </c>
      <c r="W220" s="9">
        <f t="shared" ref="W220" si="2125">IF($Q220=TRUE,L220*$D$2,0)</f>
        <v>0</v>
      </c>
      <c r="X220" s="9">
        <f t="shared" ref="X220" si="2126">IF($Q220=TRUE,M220*$D$2,0)</f>
        <v>0</v>
      </c>
      <c r="Y220" s="9">
        <f t="shared" ref="Y220" si="2127">IF($Q220=TRUE,N220*$D$2,0)</f>
        <v>0</v>
      </c>
      <c r="Z220" s="9">
        <f t="shared" ref="Z220" si="2128">IF($Q220=TRUE,O220*$D$2,0)</f>
        <v>0</v>
      </c>
      <c r="AA220" s="9">
        <f t="shared" ref="AA220" si="2129">IF($Q220=TRUE,P220*$D$2,0)</f>
        <v>0</v>
      </c>
    </row>
    <row r="221" spans="1:27" x14ac:dyDescent="0.2">
      <c r="A221" s="77"/>
      <c r="B221" s="6" t="s">
        <v>23</v>
      </c>
      <c r="C221" s="7" t="s">
        <v>171</v>
      </c>
      <c r="D221" s="8"/>
      <c r="E221" s="8"/>
      <c r="F221" s="8" t="b">
        <v>0</v>
      </c>
      <c r="G221" s="29"/>
      <c r="H221" s="29">
        <v>30</v>
      </c>
      <c r="I221" s="29"/>
      <c r="J221" s="29"/>
      <c r="K221" s="29"/>
      <c r="L221" s="29"/>
      <c r="M221" s="29"/>
      <c r="N221" s="29"/>
      <c r="O221" s="29"/>
      <c r="P221" s="39"/>
      <c r="Q221" s="32" t="b">
        <f t="shared" si="1948"/>
        <v>0</v>
      </c>
      <c r="R221" s="9">
        <f t="shared" ref="R221" si="2130">IF($Q221=TRUE,G221*$D$1,0)</f>
        <v>0</v>
      </c>
      <c r="S221" s="9">
        <f t="shared" ref="S221" si="2131">IF($Q221=TRUE,H221*$D$1,0)</f>
        <v>0</v>
      </c>
      <c r="T221" s="9">
        <f t="shared" ref="T221" si="2132">IF($Q221=TRUE,I221*$D$1,0)</f>
        <v>0</v>
      </c>
      <c r="U221" s="9">
        <f t="shared" ref="U221" si="2133">IF($Q221=TRUE,J221*$D$1,0)</f>
        <v>0</v>
      </c>
      <c r="V221" s="9">
        <f t="shared" ref="V221" si="2134">IF($Q221=TRUE,K221*$D$1,0)</f>
        <v>0</v>
      </c>
      <c r="W221" s="9">
        <f t="shared" ref="W221" si="2135">IF($Q221=TRUE,L221*$D$1,0)</f>
        <v>0</v>
      </c>
      <c r="X221" s="9">
        <f t="shared" ref="X221" si="2136">IF($Q221=TRUE,M221*$D$1,0)</f>
        <v>0</v>
      </c>
      <c r="Y221" s="9">
        <f t="shared" ref="Y221" si="2137">IF($Q221=TRUE,N221*$D$1,0)</f>
        <v>0</v>
      </c>
      <c r="Z221" s="9">
        <f t="shared" ref="Z221" si="2138">IF($Q221=TRUE,O221*$D$1,0)</f>
        <v>0</v>
      </c>
      <c r="AA221" s="9">
        <f t="shared" ref="AA221" si="2139">IF($Q221=TRUE,P221*$D$1,0)</f>
        <v>0</v>
      </c>
    </row>
    <row r="222" spans="1:27" x14ac:dyDescent="0.2">
      <c r="A222" s="77"/>
      <c r="B222" s="10" t="s">
        <v>28</v>
      </c>
      <c r="C222" s="11" t="s">
        <v>171</v>
      </c>
      <c r="D222" s="12"/>
      <c r="E222" s="25"/>
      <c r="F222" s="25" t="b">
        <v>0</v>
      </c>
      <c r="G222" s="29"/>
      <c r="H222" s="29">
        <v>50</v>
      </c>
      <c r="I222" s="29"/>
      <c r="J222" s="29"/>
      <c r="K222" s="29"/>
      <c r="L222" s="29"/>
      <c r="M222" s="29"/>
      <c r="N222" s="29"/>
      <c r="O222" s="29"/>
      <c r="P222" s="39"/>
      <c r="Q222" s="33" t="b">
        <f t="shared" si="1959"/>
        <v>0</v>
      </c>
      <c r="R222" s="9">
        <f t="shared" ref="R222" si="2140">IF($Q222=TRUE,G222*$D$2,0)</f>
        <v>0</v>
      </c>
      <c r="S222" s="9">
        <f t="shared" ref="S222" si="2141">IF($Q222=TRUE,H222*$D$2,0)</f>
        <v>0</v>
      </c>
      <c r="T222" s="9">
        <f t="shared" ref="T222" si="2142">IF($Q222=TRUE,I222*$D$2,0)</f>
        <v>0</v>
      </c>
      <c r="U222" s="9">
        <f t="shared" ref="U222" si="2143">IF($Q222=TRUE,J222*$D$2,0)</f>
        <v>0</v>
      </c>
      <c r="V222" s="9">
        <f t="shared" ref="V222" si="2144">IF($Q222=TRUE,K222*$D$2,0)</f>
        <v>0</v>
      </c>
      <c r="W222" s="9">
        <f t="shared" ref="W222" si="2145">IF($Q222=TRUE,L222*$D$2,0)</f>
        <v>0</v>
      </c>
      <c r="X222" s="9">
        <f t="shared" ref="X222" si="2146">IF($Q222=TRUE,M222*$D$2,0)</f>
        <v>0</v>
      </c>
      <c r="Y222" s="9">
        <f t="shared" ref="Y222" si="2147">IF($Q222=TRUE,N222*$D$2,0)</f>
        <v>0</v>
      </c>
      <c r="Z222" s="9">
        <f t="shared" ref="Z222" si="2148">IF($Q222=TRUE,O222*$D$2,0)</f>
        <v>0</v>
      </c>
      <c r="AA222" s="9">
        <f t="shared" ref="AA222" si="2149">IF($Q222=TRUE,P222*$D$2,0)</f>
        <v>0</v>
      </c>
    </row>
    <row r="223" spans="1:27" x14ac:dyDescent="0.2">
      <c r="A223" s="77"/>
      <c r="B223" s="6" t="s">
        <v>23</v>
      </c>
      <c r="C223" s="7" t="s">
        <v>172</v>
      </c>
      <c r="D223" s="8"/>
      <c r="E223" s="8"/>
      <c r="F223" s="8" t="b">
        <v>0</v>
      </c>
      <c r="G223" s="29"/>
      <c r="H223" s="29">
        <v>60</v>
      </c>
      <c r="I223" s="29"/>
      <c r="J223" s="29"/>
      <c r="K223" s="29"/>
      <c r="L223" s="29"/>
      <c r="M223" s="29"/>
      <c r="N223" s="29"/>
      <c r="O223" s="29"/>
      <c r="P223" s="39"/>
      <c r="Q223" s="32" t="b">
        <f t="shared" si="1948"/>
        <v>0</v>
      </c>
      <c r="R223" s="9">
        <f t="shared" ref="R223" si="2150">IF($Q223=TRUE,G223*$D$1,0)</f>
        <v>0</v>
      </c>
      <c r="S223" s="9">
        <f t="shared" ref="S223" si="2151">IF($Q223=TRUE,H223*$D$1,0)</f>
        <v>0</v>
      </c>
      <c r="T223" s="9">
        <f t="shared" ref="T223" si="2152">IF($Q223=TRUE,I223*$D$1,0)</f>
        <v>0</v>
      </c>
      <c r="U223" s="9">
        <f t="shared" ref="U223" si="2153">IF($Q223=TRUE,J223*$D$1,0)</f>
        <v>0</v>
      </c>
      <c r="V223" s="9">
        <f t="shared" ref="V223" si="2154">IF($Q223=TRUE,K223*$D$1,0)</f>
        <v>0</v>
      </c>
      <c r="W223" s="9">
        <f t="shared" ref="W223" si="2155">IF($Q223=TRUE,L223*$D$1,0)</f>
        <v>0</v>
      </c>
      <c r="X223" s="9">
        <f t="shared" ref="X223" si="2156">IF($Q223=TRUE,M223*$D$1,0)</f>
        <v>0</v>
      </c>
      <c r="Y223" s="9">
        <f t="shared" ref="Y223" si="2157">IF($Q223=TRUE,N223*$D$1,0)</f>
        <v>0</v>
      </c>
      <c r="Z223" s="9">
        <f t="shared" ref="Z223" si="2158">IF($Q223=TRUE,O223*$D$1,0)</f>
        <v>0</v>
      </c>
      <c r="AA223" s="9">
        <f t="shared" ref="AA223" si="2159">IF($Q223=TRUE,P223*$D$1,0)</f>
        <v>0</v>
      </c>
    </row>
    <row r="224" spans="1:27" x14ac:dyDescent="0.2">
      <c r="A224" s="77"/>
      <c r="B224" s="10" t="s">
        <v>28</v>
      </c>
      <c r="C224" s="11" t="s">
        <v>172</v>
      </c>
      <c r="D224" s="12"/>
      <c r="E224" s="25"/>
      <c r="F224" s="25" t="b">
        <v>0</v>
      </c>
      <c r="G224" s="29"/>
      <c r="H224" s="29">
        <v>100</v>
      </c>
      <c r="I224" s="29"/>
      <c r="J224" s="29"/>
      <c r="K224" s="29"/>
      <c r="L224" s="29"/>
      <c r="M224" s="29"/>
      <c r="N224" s="29"/>
      <c r="O224" s="29"/>
      <c r="P224" s="39"/>
      <c r="Q224" s="33" t="b">
        <f t="shared" si="1959"/>
        <v>0</v>
      </c>
      <c r="R224" s="9">
        <f t="shared" ref="R224" si="2160">IF($Q224=TRUE,G224*$D$2,0)</f>
        <v>0</v>
      </c>
      <c r="S224" s="9">
        <f t="shared" ref="S224" si="2161">IF($Q224=TRUE,H224*$D$2,0)</f>
        <v>0</v>
      </c>
      <c r="T224" s="9">
        <f t="shared" ref="T224" si="2162">IF($Q224=TRUE,I224*$D$2,0)</f>
        <v>0</v>
      </c>
      <c r="U224" s="9">
        <f t="shared" ref="U224" si="2163">IF($Q224=TRUE,J224*$D$2,0)</f>
        <v>0</v>
      </c>
      <c r="V224" s="9">
        <f t="shared" ref="V224" si="2164">IF($Q224=TRUE,K224*$D$2,0)</f>
        <v>0</v>
      </c>
      <c r="W224" s="9">
        <f t="shared" ref="W224" si="2165">IF($Q224=TRUE,L224*$D$2,0)</f>
        <v>0</v>
      </c>
      <c r="X224" s="9">
        <f t="shared" ref="X224" si="2166">IF($Q224=TRUE,M224*$D$2,0)</f>
        <v>0</v>
      </c>
      <c r="Y224" s="9">
        <f t="shared" ref="Y224" si="2167">IF($Q224=TRUE,N224*$D$2,0)</f>
        <v>0</v>
      </c>
      <c r="Z224" s="9">
        <f t="shared" ref="Z224" si="2168">IF($Q224=TRUE,O224*$D$2,0)</f>
        <v>0</v>
      </c>
      <c r="AA224" s="9">
        <f t="shared" ref="AA224" si="2169">IF($Q224=TRUE,P224*$D$2,0)</f>
        <v>0</v>
      </c>
    </row>
    <row r="225" spans="1:27" x14ac:dyDescent="0.2">
      <c r="A225" s="77"/>
      <c r="B225" s="6" t="s">
        <v>23</v>
      </c>
      <c r="C225" s="7" t="s">
        <v>173</v>
      </c>
      <c r="D225" s="8"/>
      <c r="E225" s="8"/>
      <c r="F225" s="8" t="b">
        <v>0</v>
      </c>
      <c r="G225" s="29"/>
      <c r="H225" s="29"/>
      <c r="I225" s="29"/>
      <c r="J225" s="29"/>
      <c r="K225" s="29"/>
      <c r="L225" s="29"/>
      <c r="M225" s="29"/>
      <c r="N225" s="29">
        <v>117.94</v>
      </c>
      <c r="O225" s="29"/>
      <c r="P225" s="39"/>
      <c r="Q225" s="32" t="b">
        <f t="shared" si="1948"/>
        <v>0</v>
      </c>
      <c r="R225" s="9">
        <f t="shared" ref="R225" si="2170">IF($Q225=TRUE,G225*$D$1,0)</f>
        <v>0</v>
      </c>
      <c r="S225" s="9">
        <f t="shared" ref="S225" si="2171">IF($Q225=TRUE,H225*$D$1,0)</f>
        <v>0</v>
      </c>
      <c r="T225" s="9">
        <f t="shared" ref="T225" si="2172">IF($Q225=TRUE,I225*$D$1,0)</f>
        <v>0</v>
      </c>
      <c r="U225" s="9">
        <f t="shared" ref="U225" si="2173">IF($Q225=TRUE,J225*$D$1,0)</f>
        <v>0</v>
      </c>
      <c r="V225" s="9">
        <f t="shared" ref="V225" si="2174">IF($Q225=TRUE,K225*$D$1,0)</f>
        <v>0</v>
      </c>
      <c r="W225" s="9">
        <f t="shared" ref="W225" si="2175">IF($Q225=TRUE,L225*$D$1,0)</f>
        <v>0</v>
      </c>
      <c r="X225" s="9">
        <f t="shared" ref="X225" si="2176">IF($Q225=TRUE,M225*$D$1,0)</f>
        <v>0</v>
      </c>
      <c r="Y225" s="9">
        <f t="shared" ref="Y225" si="2177">IF($Q225=TRUE,N225*$D$1,0)</f>
        <v>0</v>
      </c>
      <c r="Z225" s="9">
        <f t="shared" ref="Z225" si="2178">IF($Q225=TRUE,O225*$D$1,0)</f>
        <v>0</v>
      </c>
      <c r="AA225" s="9">
        <f t="shared" ref="AA225" si="2179">IF($Q225=TRUE,P225*$D$1,0)</f>
        <v>0</v>
      </c>
    </row>
    <row r="226" spans="1:27" x14ac:dyDescent="0.2">
      <c r="A226" s="77"/>
      <c r="B226" s="10" t="s">
        <v>28</v>
      </c>
      <c r="C226" s="11" t="s">
        <v>173</v>
      </c>
      <c r="D226" s="12"/>
      <c r="E226" s="25"/>
      <c r="F226" s="25" t="b">
        <v>0</v>
      </c>
      <c r="G226" s="29"/>
      <c r="H226" s="29"/>
      <c r="I226" s="29"/>
      <c r="J226" s="29"/>
      <c r="K226" s="29"/>
      <c r="L226" s="29"/>
      <c r="M226" s="29"/>
      <c r="N226" s="29">
        <v>231.59</v>
      </c>
      <c r="O226" s="29"/>
      <c r="P226" s="39"/>
      <c r="Q226" s="33" t="b">
        <f t="shared" si="1959"/>
        <v>0</v>
      </c>
      <c r="R226" s="9">
        <f t="shared" ref="R226" si="2180">IF($Q226=TRUE,G226*$D$2,0)</f>
        <v>0</v>
      </c>
      <c r="S226" s="9">
        <f t="shared" ref="S226" si="2181">IF($Q226=TRUE,H226*$D$2,0)</f>
        <v>0</v>
      </c>
      <c r="T226" s="9">
        <f t="shared" ref="T226" si="2182">IF($Q226=TRUE,I226*$D$2,0)</f>
        <v>0</v>
      </c>
      <c r="U226" s="9">
        <f t="shared" ref="U226" si="2183">IF($Q226=TRUE,J226*$D$2,0)</f>
        <v>0</v>
      </c>
      <c r="V226" s="9">
        <f t="shared" ref="V226" si="2184">IF($Q226=TRUE,K226*$D$2,0)</f>
        <v>0</v>
      </c>
      <c r="W226" s="9">
        <f t="shared" ref="W226" si="2185">IF($Q226=TRUE,L226*$D$2,0)</f>
        <v>0</v>
      </c>
      <c r="X226" s="9">
        <f t="shared" ref="X226" si="2186">IF($Q226=TRUE,M226*$D$2,0)</f>
        <v>0</v>
      </c>
      <c r="Y226" s="9">
        <f t="shared" ref="Y226" si="2187">IF($Q226=TRUE,N226*$D$2,0)</f>
        <v>0</v>
      </c>
      <c r="Z226" s="9">
        <f t="shared" ref="Z226" si="2188">IF($Q226=TRUE,O226*$D$2,0)</f>
        <v>0</v>
      </c>
      <c r="AA226" s="9">
        <f t="shared" ref="AA226" si="2189">IF($Q226=TRUE,P226*$D$2,0)</f>
        <v>0</v>
      </c>
    </row>
    <row r="227" spans="1:27" x14ac:dyDescent="0.2">
      <c r="A227" s="77"/>
      <c r="B227" s="6" t="s">
        <v>23</v>
      </c>
      <c r="C227" s="7" t="s">
        <v>174</v>
      </c>
      <c r="D227" s="8"/>
      <c r="E227" s="8"/>
      <c r="F227" s="8" t="b">
        <v>0</v>
      </c>
      <c r="G227" s="29"/>
      <c r="H227" s="29">
        <v>35</v>
      </c>
      <c r="I227" s="29"/>
      <c r="J227" s="29"/>
      <c r="K227" s="29"/>
      <c r="L227" s="29"/>
      <c r="M227" s="29"/>
      <c r="N227" s="29"/>
      <c r="O227" s="29"/>
      <c r="P227" s="39"/>
      <c r="Q227" s="32" t="b">
        <f t="shared" si="1948"/>
        <v>0</v>
      </c>
      <c r="R227" s="9">
        <f t="shared" ref="R227" si="2190">IF($Q227=TRUE,G227*$D$1,0)</f>
        <v>0</v>
      </c>
      <c r="S227" s="9">
        <f t="shared" ref="S227" si="2191">IF($Q227=TRUE,H227*$D$1,0)</f>
        <v>0</v>
      </c>
      <c r="T227" s="9">
        <f t="shared" ref="T227" si="2192">IF($Q227=TRUE,I227*$D$1,0)</f>
        <v>0</v>
      </c>
      <c r="U227" s="9">
        <f t="shared" ref="U227" si="2193">IF($Q227=TRUE,J227*$D$1,0)</f>
        <v>0</v>
      </c>
      <c r="V227" s="9">
        <f t="shared" ref="V227" si="2194">IF($Q227=TRUE,K227*$D$1,0)</f>
        <v>0</v>
      </c>
      <c r="W227" s="9">
        <f t="shared" ref="W227" si="2195">IF($Q227=TRUE,L227*$D$1,0)</f>
        <v>0</v>
      </c>
      <c r="X227" s="9">
        <f t="shared" ref="X227" si="2196">IF($Q227=TRUE,M227*$D$1,0)</f>
        <v>0</v>
      </c>
      <c r="Y227" s="9">
        <f t="shared" ref="Y227" si="2197">IF($Q227=TRUE,N227*$D$1,0)</f>
        <v>0</v>
      </c>
      <c r="Z227" s="9">
        <f t="shared" ref="Z227" si="2198">IF($Q227=TRUE,O227*$D$1,0)</f>
        <v>0</v>
      </c>
      <c r="AA227" s="9">
        <f t="shared" ref="AA227" si="2199">IF($Q227=TRUE,P227*$D$1,0)</f>
        <v>0</v>
      </c>
    </row>
    <row r="228" spans="1:27" x14ac:dyDescent="0.2">
      <c r="A228" s="77"/>
      <c r="B228" s="10" t="s">
        <v>28</v>
      </c>
      <c r="C228" s="11" t="s">
        <v>174</v>
      </c>
      <c r="D228" s="12"/>
      <c r="E228" s="25"/>
      <c r="F228" s="25" t="b">
        <v>0</v>
      </c>
      <c r="G228" s="29"/>
      <c r="H228" s="29">
        <v>65</v>
      </c>
      <c r="I228" s="29"/>
      <c r="J228" s="29"/>
      <c r="K228" s="29"/>
      <c r="L228" s="29"/>
      <c r="M228" s="29"/>
      <c r="N228" s="29"/>
      <c r="O228" s="29"/>
      <c r="P228" s="39"/>
      <c r="Q228" s="33" t="b">
        <f t="shared" si="1959"/>
        <v>0</v>
      </c>
      <c r="R228" s="9">
        <f t="shared" ref="R228" si="2200">IF($Q228=TRUE,G228*$D$2,0)</f>
        <v>0</v>
      </c>
      <c r="S228" s="9">
        <f t="shared" ref="S228" si="2201">IF($Q228=TRUE,H228*$D$2,0)</f>
        <v>0</v>
      </c>
      <c r="T228" s="9">
        <f t="shared" ref="T228" si="2202">IF($Q228=TRUE,I228*$D$2,0)</f>
        <v>0</v>
      </c>
      <c r="U228" s="9">
        <f t="shared" ref="U228" si="2203">IF($Q228=TRUE,J228*$D$2,0)</f>
        <v>0</v>
      </c>
      <c r="V228" s="9">
        <f t="shared" ref="V228" si="2204">IF($Q228=TRUE,K228*$D$2,0)</f>
        <v>0</v>
      </c>
      <c r="W228" s="9">
        <f t="shared" ref="W228" si="2205">IF($Q228=TRUE,L228*$D$2,0)</f>
        <v>0</v>
      </c>
      <c r="X228" s="9">
        <f t="shared" ref="X228" si="2206">IF($Q228=TRUE,M228*$D$2,0)</f>
        <v>0</v>
      </c>
      <c r="Y228" s="9">
        <f t="shared" ref="Y228" si="2207">IF($Q228=TRUE,N228*$D$2,0)</f>
        <v>0</v>
      </c>
      <c r="Z228" s="9">
        <f t="shared" ref="Z228" si="2208">IF($Q228=TRUE,O228*$D$2,0)</f>
        <v>0</v>
      </c>
      <c r="AA228" s="9">
        <f t="shared" ref="AA228" si="2209">IF($Q228=TRUE,P228*$D$2,0)</f>
        <v>0</v>
      </c>
    </row>
    <row r="229" spans="1:27" x14ac:dyDescent="0.2">
      <c r="A229" s="77"/>
      <c r="B229" s="6" t="s">
        <v>23</v>
      </c>
      <c r="C229" s="7" t="s">
        <v>175</v>
      </c>
      <c r="D229" s="8"/>
      <c r="E229" s="8"/>
      <c r="F229" s="8" t="b">
        <v>0</v>
      </c>
      <c r="G229" s="29"/>
      <c r="H229" s="29">
        <v>40</v>
      </c>
      <c r="I229" s="29"/>
      <c r="J229" s="29"/>
      <c r="K229" s="29"/>
      <c r="L229" s="29"/>
      <c r="M229" s="29"/>
      <c r="N229" s="29"/>
      <c r="O229" s="29"/>
      <c r="P229" s="39"/>
      <c r="Q229" s="32" t="b">
        <f t="shared" si="1948"/>
        <v>0</v>
      </c>
      <c r="R229" s="9">
        <f t="shared" ref="R229" si="2210">IF($Q229=TRUE,G229*$D$1,0)</f>
        <v>0</v>
      </c>
      <c r="S229" s="9">
        <f t="shared" ref="S229" si="2211">IF($Q229=TRUE,H229*$D$1,0)</f>
        <v>0</v>
      </c>
      <c r="T229" s="9">
        <f t="shared" ref="T229" si="2212">IF($Q229=TRUE,I229*$D$1,0)</f>
        <v>0</v>
      </c>
      <c r="U229" s="9">
        <f t="shared" ref="U229" si="2213">IF($Q229=TRUE,J229*$D$1,0)</f>
        <v>0</v>
      </c>
      <c r="V229" s="9">
        <f t="shared" ref="V229" si="2214">IF($Q229=TRUE,K229*$D$1,0)</f>
        <v>0</v>
      </c>
      <c r="W229" s="9">
        <f t="shared" ref="W229" si="2215">IF($Q229=TRUE,L229*$D$1,0)</f>
        <v>0</v>
      </c>
      <c r="X229" s="9">
        <f t="shared" ref="X229" si="2216">IF($Q229=TRUE,M229*$D$1,0)</f>
        <v>0</v>
      </c>
      <c r="Y229" s="9">
        <f t="shared" ref="Y229" si="2217">IF($Q229=TRUE,N229*$D$1,0)</f>
        <v>0</v>
      </c>
      <c r="Z229" s="9">
        <f t="shared" ref="Z229" si="2218">IF($Q229=TRUE,O229*$D$1,0)</f>
        <v>0</v>
      </c>
      <c r="AA229" s="9">
        <f t="shared" ref="AA229" si="2219">IF($Q229=TRUE,P229*$D$1,0)</f>
        <v>0</v>
      </c>
    </row>
    <row r="230" spans="1:27" x14ac:dyDescent="0.2">
      <c r="A230" s="77"/>
      <c r="B230" s="10" t="s">
        <v>28</v>
      </c>
      <c r="C230" s="11" t="s">
        <v>175</v>
      </c>
      <c r="D230" s="12"/>
      <c r="E230" s="25"/>
      <c r="F230" s="25" t="b">
        <v>0</v>
      </c>
      <c r="G230" s="29"/>
      <c r="H230" s="29">
        <v>60</v>
      </c>
      <c r="I230" s="29"/>
      <c r="J230" s="29"/>
      <c r="K230" s="29"/>
      <c r="L230" s="29"/>
      <c r="M230" s="29"/>
      <c r="N230" s="29"/>
      <c r="O230" s="29"/>
      <c r="P230" s="39"/>
      <c r="Q230" s="33" t="b">
        <f t="shared" si="1959"/>
        <v>0</v>
      </c>
      <c r="R230" s="9">
        <f t="shared" ref="R230" si="2220">IF($Q230=TRUE,G230*$D$2,0)</f>
        <v>0</v>
      </c>
      <c r="S230" s="9">
        <f t="shared" ref="S230" si="2221">IF($Q230=TRUE,H230*$D$2,0)</f>
        <v>0</v>
      </c>
      <c r="T230" s="9">
        <f t="shared" ref="T230" si="2222">IF($Q230=TRUE,I230*$D$2,0)</f>
        <v>0</v>
      </c>
      <c r="U230" s="9">
        <f t="shared" ref="U230" si="2223">IF($Q230=TRUE,J230*$D$2,0)</f>
        <v>0</v>
      </c>
      <c r="V230" s="9">
        <f t="shared" ref="V230" si="2224">IF($Q230=TRUE,K230*$D$2,0)</f>
        <v>0</v>
      </c>
      <c r="W230" s="9">
        <f t="shared" ref="W230" si="2225">IF($Q230=TRUE,L230*$D$2,0)</f>
        <v>0</v>
      </c>
      <c r="X230" s="9">
        <f t="shared" ref="X230" si="2226">IF($Q230=TRUE,M230*$D$2,0)</f>
        <v>0</v>
      </c>
      <c r="Y230" s="9">
        <f t="shared" ref="Y230" si="2227">IF($Q230=TRUE,N230*$D$2,0)</f>
        <v>0</v>
      </c>
      <c r="Z230" s="9">
        <f t="shared" ref="Z230" si="2228">IF($Q230=TRUE,O230*$D$2,0)</f>
        <v>0</v>
      </c>
      <c r="AA230" s="9">
        <f t="shared" ref="AA230" si="2229">IF($Q230=TRUE,P230*$D$2,0)</f>
        <v>0</v>
      </c>
    </row>
    <row r="231" spans="1:27" x14ac:dyDescent="0.2">
      <c r="A231" s="77"/>
      <c r="B231" s="6" t="s">
        <v>23</v>
      </c>
      <c r="C231" s="7" t="s">
        <v>176</v>
      </c>
      <c r="D231" s="8"/>
      <c r="E231" s="8"/>
      <c r="F231" s="8" t="b">
        <v>0</v>
      </c>
      <c r="G231" s="29"/>
      <c r="H231" s="29">
        <v>70</v>
      </c>
      <c r="I231" s="29"/>
      <c r="J231" s="29"/>
      <c r="K231" s="29"/>
      <c r="L231" s="29"/>
      <c r="M231" s="29"/>
      <c r="N231" s="29"/>
      <c r="O231" s="29"/>
      <c r="P231" s="39"/>
      <c r="Q231" s="32" t="b">
        <f t="shared" si="1948"/>
        <v>0</v>
      </c>
      <c r="R231" s="9">
        <f t="shared" ref="R231" si="2230">IF($Q231=TRUE,G231*$D$1,0)</f>
        <v>0</v>
      </c>
      <c r="S231" s="9">
        <f t="shared" ref="S231" si="2231">IF($Q231=TRUE,H231*$D$1,0)</f>
        <v>0</v>
      </c>
      <c r="T231" s="9">
        <f t="shared" ref="T231" si="2232">IF($Q231=TRUE,I231*$D$1,0)</f>
        <v>0</v>
      </c>
      <c r="U231" s="9">
        <f t="shared" ref="U231" si="2233">IF($Q231=TRUE,J231*$D$1,0)</f>
        <v>0</v>
      </c>
      <c r="V231" s="9">
        <f t="shared" ref="V231" si="2234">IF($Q231=TRUE,K231*$D$1,0)</f>
        <v>0</v>
      </c>
      <c r="W231" s="9">
        <f t="shared" ref="W231" si="2235">IF($Q231=TRUE,L231*$D$1,0)</f>
        <v>0</v>
      </c>
      <c r="X231" s="9">
        <f t="shared" ref="X231" si="2236">IF($Q231=TRUE,M231*$D$1,0)</f>
        <v>0</v>
      </c>
      <c r="Y231" s="9">
        <f t="shared" ref="Y231" si="2237">IF($Q231=TRUE,N231*$D$1,0)</f>
        <v>0</v>
      </c>
      <c r="Z231" s="9">
        <f t="shared" ref="Z231" si="2238">IF($Q231=TRUE,O231*$D$1,0)</f>
        <v>0</v>
      </c>
      <c r="AA231" s="9">
        <f t="shared" ref="AA231" si="2239">IF($Q231=TRUE,P231*$D$1,0)</f>
        <v>0</v>
      </c>
    </row>
    <row r="232" spans="1:27" x14ac:dyDescent="0.2">
      <c r="A232" s="77"/>
      <c r="B232" s="10" t="s">
        <v>28</v>
      </c>
      <c r="C232" s="11" t="s">
        <v>176</v>
      </c>
      <c r="D232" s="12"/>
      <c r="E232" s="25"/>
      <c r="F232" s="25" t="b">
        <v>1</v>
      </c>
      <c r="G232" s="29"/>
      <c r="H232" s="29">
        <v>120</v>
      </c>
      <c r="I232" s="29"/>
      <c r="J232" s="29"/>
      <c r="K232" s="29"/>
      <c r="L232" s="29"/>
      <c r="M232" s="29"/>
      <c r="N232" s="29"/>
      <c r="O232" s="29"/>
      <c r="P232" s="39"/>
      <c r="Q232" s="33" t="b">
        <f t="shared" si="1959"/>
        <v>1</v>
      </c>
      <c r="R232" s="9">
        <f t="shared" ref="R232" si="2240">IF($Q232=TRUE,G232*$D$2,0)</f>
        <v>0</v>
      </c>
      <c r="S232" s="9">
        <f t="shared" ref="S232" si="2241">IF($Q232=TRUE,H232*$D$2,0)</f>
        <v>20976</v>
      </c>
      <c r="T232" s="9">
        <f t="shared" ref="T232" si="2242">IF($Q232=TRUE,I232*$D$2,0)</f>
        <v>0</v>
      </c>
      <c r="U232" s="9">
        <f t="shared" ref="U232" si="2243">IF($Q232=TRUE,J232*$D$2,0)</f>
        <v>0</v>
      </c>
      <c r="V232" s="9">
        <f t="shared" ref="V232" si="2244">IF($Q232=TRUE,K232*$D$2,0)</f>
        <v>0</v>
      </c>
      <c r="W232" s="9">
        <f t="shared" ref="W232" si="2245">IF($Q232=TRUE,L232*$D$2,0)</f>
        <v>0</v>
      </c>
      <c r="X232" s="9">
        <f t="shared" ref="X232" si="2246">IF($Q232=TRUE,M232*$D$2,0)</f>
        <v>0</v>
      </c>
      <c r="Y232" s="9">
        <f t="shared" ref="Y232" si="2247">IF($Q232=TRUE,N232*$D$2,0)</f>
        <v>0</v>
      </c>
      <c r="Z232" s="9">
        <f t="shared" ref="Z232" si="2248">IF($Q232=TRUE,O232*$D$2,0)</f>
        <v>0</v>
      </c>
      <c r="AA232" s="9">
        <f t="shared" ref="AA232" si="2249">IF($Q232=TRUE,P232*$D$2,0)</f>
        <v>0</v>
      </c>
    </row>
    <row r="233" spans="1:27" x14ac:dyDescent="0.2">
      <c r="A233" s="77"/>
      <c r="B233" s="6" t="s">
        <v>23</v>
      </c>
      <c r="C233" s="7" t="s">
        <v>177</v>
      </c>
      <c r="D233" s="8"/>
      <c r="E233" s="8"/>
      <c r="F233" s="8" t="b">
        <v>0</v>
      </c>
      <c r="G233" s="29"/>
      <c r="H233" s="29"/>
      <c r="I233" s="29"/>
      <c r="J233" s="29"/>
      <c r="K233" s="29"/>
      <c r="L233" s="29"/>
      <c r="M233" s="29"/>
      <c r="N233" s="29"/>
      <c r="O233" s="29">
        <v>305</v>
      </c>
      <c r="P233" s="39"/>
      <c r="Q233" s="32" t="b">
        <f t="shared" si="1948"/>
        <v>0</v>
      </c>
      <c r="R233" s="9">
        <f t="shared" ref="R233" si="2250">IF($Q233=TRUE,G233*$D$1,0)</f>
        <v>0</v>
      </c>
      <c r="S233" s="9">
        <f t="shared" ref="S233" si="2251">IF($Q233=TRUE,H233*$D$1,0)</f>
        <v>0</v>
      </c>
      <c r="T233" s="9">
        <f t="shared" ref="T233" si="2252">IF($Q233=TRUE,I233*$D$1,0)</f>
        <v>0</v>
      </c>
      <c r="U233" s="9">
        <f t="shared" ref="U233" si="2253">IF($Q233=TRUE,J233*$D$1,0)</f>
        <v>0</v>
      </c>
      <c r="V233" s="9">
        <f t="shared" ref="V233" si="2254">IF($Q233=TRUE,K233*$D$1,0)</f>
        <v>0</v>
      </c>
      <c r="W233" s="9">
        <f t="shared" ref="W233" si="2255">IF($Q233=TRUE,L233*$D$1,0)</f>
        <v>0</v>
      </c>
      <c r="X233" s="9">
        <f t="shared" ref="X233" si="2256">IF($Q233=TRUE,M233*$D$1,0)</f>
        <v>0</v>
      </c>
      <c r="Y233" s="9">
        <f t="shared" ref="Y233" si="2257">IF($Q233=TRUE,N233*$D$1,0)</f>
        <v>0</v>
      </c>
      <c r="Z233" s="9">
        <f t="shared" ref="Z233" si="2258">IF($Q233=TRUE,O233*$D$1,0)</f>
        <v>0</v>
      </c>
      <c r="AA233" s="9">
        <f t="shared" ref="AA233" si="2259">IF($Q233=TRUE,P233*$D$1,0)</f>
        <v>0</v>
      </c>
    </row>
    <row r="234" spans="1:27" x14ac:dyDescent="0.2">
      <c r="A234" s="77"/>
      <c r="B234" s="10" t="s">
        <v>28</v>
      </c>
      <c r="C234" s="11" t="s">
        <v>177</v>
      </c>
      <c r="D234" s="12"/>
      <c r="E234" s="25"/>
      <c r="F234" s="25" t="b">
        <v>0</v>
      </c>
      <c r="G234" s="29"/>
      <c r="H234" s="29"/>
      <c r="I234" s="29"/>
      <c r="J234" s="29"/>
      <c r="K234" s="29"/>
      <c r="L234" s="29"/>
      <c r="M234" s="29"/>
      <c r="N234" s="29"/>
      <c r="O234" s="29">
        <v>500</v>
      </c>
      <c r="P234" s="39"/>
      <c r="Q234" s="33" t="b">
        <f t="shared" si="1959"/>
        <v>0</v>
      </c>
      <c r="R234" s="9">
        <f t="shared" ref="R234" si="2260">IF($Q234=TRUE,G234*$D$2,0)</f>
        <v>0</v>
      </c>
      <c r="S234" s="9">
        <f t="shared" ref="S234" si="2261">IF($Q234=TRUE,H234*$D$2,0)</f>
        <v>0</v>
      </c>
      <c r="T234" s="9">
        <f t="shared" ref="T234" si="2262">IF($Q234=TRUE,I234*$D$2,0)</f>
        <v>0</v>
      </c>
      <c r="U234" s="9">
        <f t="shared" ref="U234" si="2263">IF($Q234=TRUE,J234*$D$2,0)</f>
        <v>0</v>
      </c>
      <c r="V234" s="9">
        <f t="shared" ref="V234" si="2264">IF($Q234=TRUE,K234*$D$2,0)</f>
        <v>0</v>
      </c>
      <c r="W234" s="9">
        <f t="shared" ref="W234" si="2265">IF($Q234=TRUE,L234*$D$2,0)</f>
        <v>0</v>
      </c>
      <c r="X234" s="9">
        <f t="shared" ref="X234" si="2266">IF($Q234=TRUE,M234*$D$2,0)</f>
        <v>0</v>
      </c>
      <c r="Y234" s="9">
        <f t="shared" ref="Y234" si="2267">IF($Q234=TRUE,N234*$D$2,0)</f>
        <v>0</v>
      </c>
      <c r="Z234" s="9">
        <f t="shared" ref="Z234" si="2268">IF($Q234=TRUE,O234*$D$2,0)</f>
        <v>0</v>
      </c>
      <c r="AA234" s="9">
        <f t="shared" ref="AA234" si="2269">IF($Q234=TRUE,P234*$D$2,0)</f>
        <v>0</v>
      </c>
    </row>
    <row r="235" spans="1:27" x14ac:dyDescent="0.2">
      <c r="A235" s="77"/>
      <c r="B235" s="6" t="s">
        <v>23</v>
      </c>
      <c r="C235" s="7" t="s">
        <v>178</v>
      </c>
      <c r="D235" s="8"/>
      <c r="E235" s="8"/>
      <c r="F235" s="8" t="b">
        <v>0</v>
      </c>
      <c r="G235" s="29"/>
      <c r="H235" s="29"/>
      <c r="I235" s="29"/>
      <c r="J235" s="29"/>
      <c r="K235" s="29"/>
      <c r="L235" s="29"/>
      <c r="M235" s="29"/>
      <c r="N235" s="29"/>
      <c r="O235" s="29">
        <v>305</v>
      </c>
      <c r="P235" s="39"/>
      <c r="Q235" s="32" t="b">
        <f t="shared" si="1948"/>
        <v>0</v>
      </c>
      <c r="R235" s="9">
        <f t="shared" ref="R235" si="2270">IF($Q235=TRUE,G235*$D$1,0)</f>
        <v>0</v>
      </c>
      <c r="S235" s="9">
        <f t="shared" ref="S235" si="2271">IF($Q235=TRUE,H235*$D$1,0)</f>
        <v>0</v>
      </c>
      <c r="T235" s="9">
        <f t="shared" ref="T235" si="2272">IF($Q235=TRUE,I235*$D$1,0)</f>
        <v>0</v>
      </c>
      <c r="U235" s="9">
        <f t="shared" ref="U235" si="2273">IF($Q235=TRUE,J235*$D$1,0)</f>
        <v>0</v>
      </c>
      <c r="V235" s="9">
        <f t="shared" ref="V235" si="2274">IF($Q235=TRUE,K235*$D$1,0)</f>
        <v>0</v>
      </c>
      <c r="W235" s="9">
        <f t="shared" ref="W235" si="2275">IF($Q235=TRUE,L235*$D$1,0)</f>
        <v>0</v>
      </c>
      <c r="X235" s="9">
        <f t="shared" ref="X235" si="2276">IF($Q235=TRUE,M235*$D$1,0)</f>
        <v>0</v>
      </c>
      <c r="Y235" s="9">
        <f t="shared" ref="Y235" si="2277">IF($Q235=TRUE,N235*$D$1,0)</f>
        <v>0</v>
      </c>
      <c r="Z235" s="9">
        <f t="shared" ref="Z235" si="2278">IF($Q235=TRUE,O235*$D$1,0)</f>
        <v>0</v>
      </c>
      <c r="AA235" s="9">
        <f t="shared" ref="AA235" si="2279">IF($Q235=TRUE,P235*$D$1,0)</f>
        <v>0</v>
      </c>
    </row>
    <row r="236" spans="1:27" x14ac:dyDescent="0.2">
      <c r="A236" s="77"/>
      <c r="B236" s="10" t="s">
        <v>28</v>
      </c>
      <c r="C236" s="11" t="s">
        <v>178</v>
      </c>
      <c r="D236" s="12"/>
      <c r="E236" s="25"/>
      <c r="F236" s="25" t="b">
        <v>0</v>
      </c>
      <c r="G236" s="29"/>
      <c r="H236" s="29"/>
      <c r="I236" s="29"/>
      <c r="J236" s="29"/>
      <c r="K236" s="29"/>
      <c r="L236" s="29"/>
      <c r="M236" s="29"/>
      <c r="N236" s="29"/>
      <c r="O236" s="29">
        <v>850</v>
      </c>
      <c r="P236" s="39"/>
      <c r="Q236" s="33" t="b">
        <f t="shared" si="1959"/>
        <v>0</v>
      </c>
      <c r="R236" s="9">
        <f t="shared" ref="R236" si="2280">IF($Q236=TRUE,G236*$D$2,0)</f>
        <v>0</v>
      </c>
      <c r="S236" s="9">
        <f t="shared" ref="S236" si="2281">IF($Q236=TRUE,H236*$D$2,0)</f>
        <v>0</v>
      </c>
      <c r="T236" s="9">
        <f t="shared" ref="T236" si="2282">IF($Q236=TRUE,I236*$D$2,0)</f>
        <v>0</v>
      </c>
      <c r="U236" s="9">
        <f t="shared" ref="U236" si="2283">IF($Q236=TRUE,J236*$D$2,0)</f>
        <v>0</v>
      </c>
      <c r="V236" s="9">
        <f t="shared" ref="V236" si="2284">IF($Q236=TRUE,K236*$D$2,0)</f>
        <v>0</v>
      </c>
      <c r="W236" s="9">
        <f t="shared" ref="W236" si="2285">IF($Q236=TRUE,L236*$D$2,0)</f>
        <v>0</v>
      </c>
      <c r="X236" s="9">
        <f t="shared" ref="X236" si="2286">IF($Q236=TRUE,M236*$D$2,0)</f>
        <v>0</v>
      </c>
      <c r="Y236" s="9">
        <f t="shared" ref="Y236" si="2287">IF($Q236=TRUE,N236*$D$2,0)</f>
        <v>0</v>
      </c>
      <c r="Z236" s="9">
        <f t="shared" ref="Z236" si="2288">IF($Q236=TRUE,O236*$D$2,0)</f>
        <v>0</v>
      </c>
      <c r="AA236" s="9">
        <f t="shared" ref="AA236" si="2289">IF($Q236=TRUE,P236*$D$2,0)</f>
        <v>0</v>
      </c>
    </row>
    <row r="237" spans="1:27" ht="25.5" x14ac:dyDescent="0.2">
      <c r="A237" s="77"/>
      <c r="B237" s="6" t="s">
        <v>23</v>
      </c>
      <c r="C237" s="7" t="s">
        <v>179</v>
      </c>
      <c r="D237" s="8"/>
      <c r="E237" s="8"/>
      <c r="F237" s="8" t="b">
        <v>0</v>
      </c>
      <c r="G237" s="29"/>
      <c r="H237" s="29"/>
      <c r="I237" s="29"/>
      <c r="J237" s="29"/>
      <c r="K237" s="29"/>
      <c r="L237" s="29"/>
      <c r="M237" s="29"/>
      <c r="N237" s="29"/>
      <c r="O237" s="29">
        <v>200</v>
      </c>
      <c r="P237" s="39"/>
      <c r="Q237" s="32" t="b">
        <f t="shared" si="1948"/>
        <v>0</v>
      </c>
      <c r="R237" s="9">
        <f t="shared" ref="R237" si="2290">IF($Q237=TRUE,G237*$D$1,0)</f>
        <v>0</v>
      </c>
      <c r="S237" s="9">
        <f t="shared" ref="S237" si="2291">IF($Q237=TRUE,H237*$D$1,0)</f>
        <v>0</v>
      </c>
      <c r="T237" s="9">
        <f t="shared" ref="T237" si="2292">IF($Q237=TRUE,I237*$D$1,0)</f>
        <v>0</v>
      </c>
      <c r="U237" s="9">
        <f t="shared" ref="U237" si="2293">IF($Q237=TRUE,J237*$D$1,0)</f>
        <v>0</v>
      </c>
      <c r="V237" s="9">
        <f t="shared" ref="V237" si="2294">IF($Q237=TRUE,K237*$D$1,0)</f>
        <v>0</v>
      </c>
      <c r="W237" s="9">
        <f t="shared" ref="W237" si="2295">IF($Q237=TRUE,L237*$D$1,0)</f>
        <v>0</v>
      </c>
      <c r="X237" s="9">
        <f t="shared" ref="X237" si="2296">IF($Q237=TRUE,M237*$D$1,0)</f>
        <v>0</v>
      </c>
      <c r="Y237" s="9">
        <f t="shared" ref="Y237" si="2297">IF($Q237=TRUE,N237*$D$1,0)</f>
        <v>0</v>
      </c>
      <c r="Z237" s="9">
        <f t="shared" ref="Z237" si="2298">IF($Q237=TRUE,O237*$D$1,0)</f>
        <v>0</v>
      </c>
      <c r="AA237" s="9">
        <f t="shared" ref="AA237" si="2299">IF($Q237=TRUE,P237*$D$1,0)</f>
        <v>0</v>
      </c>
    </row>
    <row r="238" spans="1:27" ht="25.5" x14ac:dyDescent="0.2">
      <c r="A238" s="77"/>
      <c r="B238" s="10" t="s">
        <v>28</v>
      </c>
      <c r="C238" s="11" t="s">
        <v>179</v>
      </c>
      <c r="D238" s="12"/>
      <c r="E238" s="25"/>
      <c r="F238" s="25" t="b">
        <v>0</v>
      </c>
      <c r="G238" s="29"/>
      <c r="H238" s="29"/>
      <c r="I238" s="29"/>
      <c r="J238" s="29"/>
      <c r="K238" s="29"/>
      <c r="L238" s="29"/>
      <c r="M238" s="29"/>
      <c r="N238" s="29"/>
      <c r="O238" s="29">
        <v>400</v>
      </c>
      <c r="P238" s="39"/>
      <c r="Q238" s="33" t="b">
        <f t="shared" si="1959"/>
        <v>0</v>
      </c>
      <c r="R238" s="9">
        <f t="shared" ref="R238" si="2300">IF($Q238=TRUE,G238*$D$2,0)</f>
        <v>0</v>
      </c>
      <c r="S238" s="9">
        <f t="shared" ref="S238" si="2301">IF($Q238=TRUE,H238*$D$2,0)</f>
        <v>0</v>
      </c>
      <c r="T238" s="9">
        <f t="shared" ref="T238" si="2302">IF($Q238=TRUE,I238*$D$2,0)</f>
        <v>0</v>
      </c>
      <c r="U238" s="9">
        <f t="shared" ref="U238" si="2303">IF($Q238=TRUE,J238*$D$2,0)</f>
        <v>0</v>
      </c>
      <c r="V238" s="9">
        <f t="shared" ref="V238" si="2304">IF($Q238=TRUE,K238*$D$2,0)</f>
        <v>0</v>
      </c>
      <c r="W238" s="9">
        <f t="shared" ref="W238" si="2305">IF($Q238=TRUE,L238*$D$2,0)</f>
        <v>0</v>
      </c>
      <c r="X238" s="9">
        <f t="shared" ref="X238" si="2306">IF($Q238=TRUE,M238*$D$2,0)</f>
        <v>0</v>
      </c>
      <c r="Y238" s="9">
        <f t="shared" ref="Y238" si="2307">IF($Q238=TRUE,N238*$D$2,0)</f>
        <v>0</v>
      </c>
      <c r="Z238" s="9">
        <f t="shared" ref="Z238" si="2308">IF($Q238=TRUE,O238*$D$2,0)</f>
        <v>0</v>
      </c>
      <c r="AA238" s="9">
        <f t="shared" ref="AA238" si="2309">IF($Q238=TRUE,P238*$D$2,0)</f>
        <v>0</v>
      </c>
    </row>
    <row r="239" spans="1:27" x14ac:dyDescent="0.2">
      <c r="A239" s="77"/>
      <c r="B239" s="6" t="s">
        <v>23</v>
      </c>
      <c r="C239" s="7" t="s">
        <v>180</v>
      </c>
      <c r="D239" s="8"/>
      <c r="E239" s="8"/>
      <c r="F239" s="8" t="b">
        <v>0</v>
      </c>
      <c r="G239" s="29"/>
      <c r="H239" s="29"/>
      <c r="I239" s="29"/>
      <c r="J239" s="29"/>
      <c r="K239" s="29"/>
      <c r="L239" s="29"/>
      <c r="M239" s="29"/>
      <c r="N239" s="29"/>
      <c r="O239" s="29">
        <v>140</v>
      </c>
      <c r="P239" s="39"/>
      <c r="Q239" s="32" t="b">
        <f t="shared" si="1948"/>
        <v>0</v>
      </c>
      <c r="R239" s="9">
        <f t="shared" ref="R239" si="2310">IF($Q239=TRUE,G239*$D$1,0)</f>
        <v>0</v>
      </c>
      <c r="S239" s="9">
        <f t="shared" ref="S239" si="2311">IF($Q239=TRUE,H239*$D$1,0)</f>
        <v>0</v>
      </c>
      <c r="T239" s="9">
        <f t="shared" ref="T239" si="2312">IF($Q239=TRUE,I239*$D$1,0)</f>
        <v>0</v>
      </c>
      <c r="U239" s="9">
        <f t="shared" ref="U239" si="2313">IF($Q239=TRUE,J239*$D$1,0)</f>
        <v>0</v>
      </c>
      <c r="V239" s="9">
        <f t="shared" ref="V239" si="2314">IF($Q239=TRUE,K239*$D$1,0)</f>
        <v>0</v>
      </c>
      <c r="W239" s="9">
        <f t="shared" ref="W239" si="2315">IF($Q239=TRUE,L239*$D$1,0)</f>
        <v>0</v>
      </c>
      <c r="X239" s="9">
        <f t="shared" ref="X239" si="2316">IF($Q239=TRUE,M239*$D$1,0)</f>
        <v>0</v>
      </c>
      <c r="Y239" s="9">
        <f t="shared" ref="Y239" si="2317">IF($Q239=TRUE,N239*$D$1,0)</f>
        <v>0</v>
      </c>
      <c r="Z239" s="9">
        <f t="shared" ref="Z239" si="2318">IF($Q239=TRUE,O239*$D$1,0)</f>
        <v>0</v>
      </c>
      <c r="AA239" s="9">
        <f t="shared" ref="AA239" si="2319">IF($Q239=TRUE,P239*$D$1,0)</f>
        <v>0</v>
      </c>
    </row>
    <row r="240" spans="1:27" x14ac:dyDescent="0.2">
      <c r="A240" s="77"/>
      <c r="B240" s="10" t="s">
        <v>28</v>
      </c>
      <c r="C240" s="11" t="s">
        <v>180</v>
      </c>
      <c r="D240" s="12"/>
      <c r="E240" s="25"/>
      <c r="F240" s="25" t="b">
        <v>0</v>
      </c>
      <c r="G240" s="29"/>
      <c r="H240" s="29"/>
      <c r="I240" s="29"/>
      <c r="J240" s="29"/>
      <c r="K240" s="29"/>
      <c r="L240" s="29"/>
      <c r="M240" s="29"/>
      <c r="N240" s="29"/>
      <c r="O240" s="29">
        <v>425</v>
      </c>
      <c r="P240" s="39"/>
      <c r="Q240" s="33" t="b">
        <f t="shared" si="1959"/>
        <v>0</v>
      </c>
      <c r="R240" s="9">
        <f t="shared" ref="R240" si="2320">IF($Q240=TRUE,G240*$D$2,0)</f>
        <v>0</v>
      </c>
      <c r="S240" s="9">
        <f t="shared" ref="S240" si="2321">IF($Q240=TRUE,H240*$D$2,0)</f>
        <v>0</v>
      </c>
      <c r="T240" s="9">
        <f t="shared" ref="T240" si="2322">IF($Q240=TRUE,I240*$D$2,0)</f>
        <v>0</v>
      </c>
      <c r="U240" s="9">
        <f t="shared" ref="U240" si="2323">IF($Q240=TRUE,J240*$D$2,0)</f>
        <v>0</v>
      </c>
      <c r="V240" s="9">
        <f t="shared" ref="V240" si="2324">IF($Q240=TRUE,K240*$D$2,0)</f>
        <v>0</v>
      </c>
      <c r="W240" s="9">
        <f t="shared" ref="W240" si="2325">IF($Q240=TRUE,L240*$D$2,0)</f>
        <v>0</v>
      </c>
      <c r="X240" s="9">
        <f t="shared" ref="X240" si="2326">IF($Q240=TRUE,M240*$D$2,0)</f>
        <v>0</v>
      </c>
      <c r="Y240" s="9">
        <f t="shared" ref="Y240" si="2327">IF($Q240=TRUE,N240*$D$2,0)</f>
        <v>0</v>
      </c>
      <c r="Z240" s="9">
        <f t="shared" ref="Z240" si="2328">IF($Q240=TRUE,O240*$D$2,0)</f>
        <v>0</v>
      </c>
      <c r="AA240" s="9">
        <f t="shared" ref="AA240" si="2329">IF($Q240=TRUE,P240*$D$2,0)</f>
        <v>0</v>
      </c>
    </row>
    <row r="241" spans="1:27" x14ac:dyDescent="0.2">
      <c r="A241" s="77"/>
      <c r="B241" s="6" t="s">
        <v>23</v>
      </c>
      <c r="C241" s="7" t="s">
        <v>181</v>
      </c>
      <c r="D241" s="8"/>
      <c r="E241" s="8"/>
      <c r="F241" s="8" t="b">
        <v>0</v>
      </c>
      <c r="G241" s="29"/>
      <c r="H241" s="29">
        <v>25</v>
      </c>
      <c r="I241" s="29"/>
      <c r="J241" s="29"/>
      <c r="K241" s="29"/>
      <c r="L241" s="29"/>
      <c r="M241" s="29"/>
      <c r="N241" s="29"/>
      <c r="O241" s="29"/>
      <c r="P241" s="39"/>
      <c r="Q241" s="32" t="b">
        <f t="shared" si="1948"/>
        <v>0</v>
      </c>
      <c r="R241" s="9">
        <f t="shared" ref="R241" si="2330">IF($Q241=TRUE,G241*$D$1,0)</f>
        <v>0</v>
      </c>
      <c r="S241" s="9">
        <f t="shared" ref="S241" si="2331">IF($Q241=TRUE,H241*$D$1,0)</f>
        <v>0</v>
      </c>
      <c r="T241" s="9">
        <f t="shared" ref="T241" si="2332">IF($Q241=TRUE,I241*$D$1,0)</f>
        <v>0</v>
      </c>
      <c r="U241" s="9">
        <f t="shared" ref="U241" si="2333">IF($Q241=TRUE,J241*$D$1,0)</f>
        <v>0</v>
      </c>
      <c r="V241" s="9">
        <f t="shared" ref="V241" si="2334">IF($Q241=TRUE,K241*$D$1,0)</f>
        <v>0</v>
      </c>
      <c r="W241" s="9">
        <f t="shared" ref="W241" si="2335">IF($Q241=TRUE,L241*$D$1,0)</f>
        <v>0</v>
      </c>
      <c r="X241" s="9">
        <f t="shared" ref="X241" si="2336">IF($Q241=TRUE,M241*$D$1,0)</f>
        <v>0</v>
      </c>
      <c r="Y241" s="9">
        <f t="shared" ref="Y241" si="2337">IF($Q241=TRUE,N241*$D$1,0)</f>
        <v>0</v>
      </c>
      <c r="Z241" s="9">
        <f t="shared" ref="Z241" si="2338">IF($Q241=TRUE,O241*$D$1,0)</f>
        <v>0</v>
      </c>
      <c r="AA241" s="9">
        <f t="shared" ref="AA241" si="2339">IF($Q241=TRUE,P241*$D$1,0)</f>
        <v>0</v>
      </c>
    </row>
    <row r="242" spans="1:27" x14ac:dyDescent="0.2">
      <c r="A242" s="77"/>
      <c r="B242" s="10" t="s">
        <v>28</v>
      </c>
      <c r="C242" s="11" t="s">
        <v>181</v>
      </c>
      <c r="D242" s="12"/>
      <c r="E242" s="25"/>
      <c r="F242" s="25" t="b">
        <v>0</v>
      </c>
      <c r="G242" s="29"/>
      <c r="H242" s="29">
        <v>40</v>
      </c>
      <c r="I242" s="29"/>
      <c r="J242" s="29"/>
      <c r="K242" s="29"/>
      <c r="L242" s="29"/>
      <c r="M242" s="29"/>
      <c r="N242" s="29"/>
      <c r="O242" s="29"/>
      <c r="P242" s="39"/>
      <c r="Q242" s="33" t="b">
        <f t="shared" si="1959"/>
        <v>0</v>
      </c>
      <c r="R242" s="9">
        <f t="shared" ref="R242" si="2340">IF($Q242=TRUE,G242*$D$2,0)</f>
        <v>0</v>
      </c>
      <c r="S242" s="9">
        <f t="shared" ref="S242" si="2341">IF($Q242=TRUE,H242*$D$2,0)</f>
        <v>0</v>
      </c>
      <c r="T242" s="9">
        <f t="shared" ref="T242" si="2342">IF($Q242=TRUE,I242*$D$2,0)</f>
        <v>0</v>
      </c>
      <c r="U242" s="9">
        <f t="shared" ref="U242" si="2343">IF($Q242=TRUE,J242*$D$2,0)</f>
        <v>0</v>
      </c>
      <c r="V242" s="9">
        <f t="shared" ref="V242" si="2344">IF($Q242=TRUE,K242*$D$2,0)</f>
        <v>0</v>
      </c>
      <c r="W242" s="9">
        <f t="shared" ref="W242" si="2345">IF($Q242=TRUE,L242*$D$2,0)</f>
        <v>0</v>
      </c>
      <c r="X242" s="9">
        <f t="shared" ref="X242" si="2346">IF($Q242=TRUE,M242*$D$2,0)</f>
        <v>0</v>
      </c>
      <c r="Y242" s="9">
        <f t="shared" ref="Y242" si="2347">IF($Q242=TRUE,N242*$D$2,0)</f>
        <v>0</v>
      </c>
      <c r="Z242" s="9">
        <f t="shared" ref="Z242" si="2348">IF($Q242=TRUE,O242*$D$2,0)</f>
        <v>0</v>
      </c>
      <c r="AA242" s="9">
        <f t="shared" ref="AA242" si="2349">IF($Q242=TRUE,P242*$D$2,0)</f>
        <v>0</v>
      </c>
    </row>
    <row r="243" spans="1:27" x14ac:dyDescent="0.2">
      <c r="A243" s="77"/>
      <c r="B243" s="6" t="s">
        <v>23</v>
      </c>
      <c r="C243" s="7" t="s">
        <v>182</v>
      </c>
      <c r="D243" s="8"/>
      <c r="E243" s="8"/>
      <c r="F243" s="8" t="b">
        <v>0</v>
      </c>
      <c r="G243" s="29"/>
      <c r="H243" s="29">
        <v>30</v>
      </c>
      <c r="I243" s="29"/>
      <c r="J243" s="29"/>
      <c r="K243" s="29"/>
      <c r="L243" s="29"/>
      <c r="M243" s="29"/>
      <c r="N243" s="29"/>
      <c r="O243" s="29"/>
      <c r="P243" s="39"/>
      <c r="Q243" s="32" t="b">
        <f t="shared" si="1948"/>
        <v>0</v>
      </c>
      <c r="R243" s="9">
        <f t="shared" ref="R243" si="2350">IF($Q243=TRUE,G243*$D$1,0)</f>
        <v>0</v>
      </c>
      <c r="S243" s="9">
        <f t="shared" ref="S243" si="2351">IF($Q243=TRUE,H243*$D$1,0)</f>
        <v>0</v>
      </c>
      <c r="T243" s="9">
        <f t="shared" ref="T243" si="2352">IF($Q243=TRUE,I243*$D$1,0)</f>
        <v>0</v>
      </c>
      <c r="U243" s="9">
        <f t="shared" ref="U243" si="2353">IF($Q243=TRUE,J243*$D$1,0)</f>
        <v>0</v>
      </c>
      <c r="V243" s="9">
        <f t="shared" ref="V243" si="2354">IF($Q243=TRUE,K243*$D$1,0)</f>
        <v>0</v>
      </c>
      <c r="W243" s="9">
        <f t="shared" ref="W243" si="2355">IF($Q243=TRUE,L243*$D$1,0)</f>
        <v>0</v>
      </c>
      <c r="X243" s="9">
        <f t="shared" ref="X243" si="2356">IF($Q243=TRUE,M243*$D$1,0)</f>
        <v>0</v>
      </c>
      <c r="Y243" s="9">
        <f t="shared" ref="Y243" si="2357">IF($Q243=TRUE,N243*$D$1,0)</f>
        <v>0</v>
      </c>
      <c r="Z243" s="9">
        <f t="shared" ref="Z243" si="2358">IF($Q243=TRUE,O243*$D$1,0)</f>
        <v>0</v>
      </c>
      <c r="AA243" s="9">
        <f t="shared" ref="AA243" si="2359">IF($Q243=TRUE,P243*$D$1,0)</f>
        <v>0</v>
      </c>
    </row>
    <row r="244" spans="1:27" x14ac:dyDescent="0.2">
      <c r="A244" s="77"/>
      <c r="B244" s="10" t="s">
        <v>28</v>
      </c>
      <c r="C244" s="11" t="s">
        <v>182</v>
      </c>
      <c r="D244" s="12"/>
      <c r="E244" s="25"/>
      <c r="F244" s="25" t="b">
        <v>0</v>
      </c>
      <c r="G244" s="29"/>
      <c r="H244" s="29">
        <v>55</v>
      </c>
      <c r="I244" s="29"/>
      <c r="J244" s="29"/>
      <c r="K244" s="29"/>
      <c r="L244" s="29"/>
      <c r="M244" s="29"/>
      <c r="N244" s="29"/>
      <c r="O244" s="29"/>
      <c r="P244" s="39"/>
      <c r="Q244" s="33" t="b">
        <f t="shared" si="1959"/>
        <v>0</v>
      </c>
      <c r="R244" s="9">
        <f t="shared" ref="R244" si="2360">IF($Q244=TRUE,G244*$D$2,0)</f>
        <v>0</v>
      </c>
      <c r="S244" s="9">
        <f t="shared" ref="S244" si="2361">IF($Q244=TRUE,H244*$D$2,0)</f>
        <v>0</v>
      </c>
      <c r="T244" s="9">
        <f t="shared" ref="T244" si="2362">IF($Q244=TRUE,I244*$D$2,0)</f>
        <v>0</v>
      </c>
      <c r="U244" s="9">
        <f t="shared" ref="U244" si="2363">IF($Q244=TRUE,J244*$D$2,0)</f>
        <v>0</v>
      </c>
      <c r="V244" s="9">
        <f t="shared" ref="V244" si="2364">IF($Q244=TRUE,K244*$D$2,0)</f>
        <v>0</v>
      </c>
      <c r="W244" s="9">
        <f t="shared" ref="W244" si="2365">IF($Q244=TRUE,L244*$D$2,0)</f>
        <v>0</v>
      </c>
      <c r="X244" s="9">
        <f t="shared" ref="X244" si="2366">IF($Q244=TRUE,M244*$D$2,0)</f>
        <v>0</v>
      </c>
      <c r="Y244" s="9">
        <f t="shared" ref="Y244" si="2367">IF($Q244=TRUE,N244*$D$2,0)</f>
        <v>0</v>
      </c>
      <c r="Z244" s="9">
        <f t="shared" ref="Z244" si="2368">IF($Q244=TRUE,O244*$D$2,0)</f>
        <v>0</v>
      </c>
      <c r="AA244" s="9">
        <f t="shared" ref="AA244" si="2369">IF($Q244=TRUE,P244*$D$2,0)</f>
        <v>0</v>
      </c>
    </row>
    <row r="245" spans="1:27" x14ac:dyDescent="0.2">
      <c r="A245" s="77"/>
      <c r="B245" s="6" t="s">
        <v>23</v>
      </c>
      <c r="C245" s="7" t="s">
        <v>183</v>
      </c>
      <c r="D245" s="8"/>
      <c r="E245" s="8"/>
      <c r="F245" s="8" t="b">
        <v>0</v>
      </c>
      <c r="G245" s="29"/>
      <c r="H245" s="29">
        <v>20</v>
      </c>
      <c r="I245" s="29"/>
      <c r="J245" s="29"/>
      <c r="K245" s="29"/>
      <c r="L245" s="29"/>
      <c r="M245" s="29"/>
      <c r="N245" s="29"/>
      <c r="O245" s="29"/>
      <c r="P245" s="39"/>
      <c r="Q245" s="32" t="b">
        <f t="shared" si="1948"/>
        <v>0</v>
      </c>
      <c r="R245" s="9">
        <f t="shared" ref="R245" si="2370">IF($Q245=TRUE,G245*$D$1,0)</f>
        <v>0</v>
      </c>
      <c r="S245" s="9">
        <f t="shared" ref="S245" si="2371">IF($Q245=TRUE,H245*$D$1,0)</f>
        <v>0</v>
      </c>
      <c r="T245" s="9">
        <f t="shared" ref="T245" si="2372">IF($Q245=TRUE,I245*$D$1,0)</f>
        <v>0</v>
      </c>
      <c r="U245" s="9">
        <f t="shared" ref="U245" si="2373">IF($Q245=TRUE,J245*$D$1,0)</f>
        <v>0</v>
      </c>
      <c r="V245" s="9">
        <f t="shared" ref="V245" si="2374">IF($Q245=TRUE,K245*$D$1,0)</f>
        <v>0</v>
      </c>
      <c r="W245" s="9">
        <f t="shared" ref="W245" si="2375">IF($Q245=TRUE,L245*$D$1,0)</f>
        <v>0</v>
      </c>
      <c r="X245" s="9">
        <f t="shared" ref="X245" si="2376">IF($Q245=TRUE,M245*$D$1,0)</f>
        <v>0</v>
      </c>
      <c r="Y245" s="9">
        <f t="shared" ref="Y245" si="2377">IF($Q245=TRUE,N245*$D$1,0)</f>
        <v>0</v>
      </c>
      <c r="Z245" s="9">
        <f t="shared" ref="Z245" si="2378">IF($Q245=TRUE,O245*$D$1,0)</f>
        <v>0</v>
      </c>
      <c r="AA245" s="9">
        <f t="shared" ref="AA245" si="2379">IF($Q245=TRUE,P245*$D$1,0)</f>
        <v>0</v>
      </c>
    </row>
    <row r="246" spans="1:27" x14ac:dyDescent="0.2">
      <c r="A246" s="77"/>
      <c r="B246" s="10" t="s">
        <v>28</v>
      </c>
      <c r="C246" s="11" t="s">
        <v>183</v>
      </c>
      <c r="D246" s="12"/>
      <c r="E246" s="25"/>
      <c r="F246" s="25" t="b">
        <v>0</v>
      </c>
      <c r="G246" s="29"/>
      <c r="H246" s="29">
        <v>30</v>
      </c>
      <c r="I246" s="29"/>
      <c r="J246" s="29"/>
      <c r="K246" s="29"/>
      <c r="L246" s="29"/>
      <c r="M246" s="29"/>
      <c r="N246" s="29"/>
      <c r="O246" s="29"/>
      <c r="P246" s="39"/>
      <c r="Q246" s="33" t="b">
        <f t="shared" si="1959"/>
        <v>0</v>
      </c>
      <c r="R246" s="9">
        <f t="shared" ref="R246" si="2380">IF($Q246=TRUE,G246*$D$2,0)</f>
        <v>0</v>
      </c>
      <c r="S246" s="9">
        <f t="shared" ref="S246" si="2381">IF($Q246=TRUE,H246*$D$2,0)</f>
        <v>0</v>
      </c>
      <c r="T246" s="9">
        <f t="shared" ref="T246" si="2382">IF($Q246=TRUE,I246*$D$2,0)</f>
        <v>0</v>
      </c>
      <c r="U246" s="9">
        <f t="shared" ref="U246" si="2383">IF($Q246=TRUE,J246*$D$2,0)</f>
        <v>0</v>
      </c>
      <c r="V246" s="9">
        <f t="shared" ref="V246" si="2384">IF($Q246=TRUE,K246*$D$2,0)</f>
        <v>0</v>
      </c>
      <c r="W246" s="9">
        <f t="shared" ref="W246" si="2385">IF($Q246=TRUE,L246*$D$2,0)</f>
        <v>0</v>
      </c>
      <c r="X246" s="9">
        <f t="shared" ref="X246" si="2386">IF($Q246=TRUE,M246*$D$2,0)</f>
        <v>0</v>
      </c>
      <c r="Y246" s="9">
        <f t="shared" ref="Y246" si="2387">IF($Q246=TRUE,N246*$D$2,0)</f>
        <v>0</v>
      </c>
      <c r="Z246" s="9">
        <f t="shared" ref="Z246" si="2388">IF($Q246=TRUE,O246*$D$2,0)</f>
        <v>0</v>
      </c>
      <c r="AA246" s="9">
        <f t="shared" ref="AA246" si="2389">IF($Q246=TRUE,P246*$D$2,0)</f>
        <v>0</v>
      </c>
    </row>
    <row r="247" spans="1:27" x14ac:dyDescent="0.2">
      <c r="A247" s="77"/>
      <c r="B247" s="6" t="s">
        <v>23</v>
      </c>
      <c r="C247" s="7" t="s">
        <v>184</v>
      </c>
      <c r="D247" s="8"/>
      <c r="E247" s="8"/>
      <c r="F247" s="8" t="b">
        <v>0</v>
      </c>
      <c r="G247" s="29"/>
      <c r="H247" s="29">
        <v>30</v>
      </c>
      <c r="I247" s="29"/>
      <c r="J247" s="29"/>
      <c r="K247" s="29"/>
      <c r="L247" s="29"/>
      <c r="M247" s="29"/>
      <c r="N247" s="29"/>
      <c r="O247" s="29"/>
      <c r="P247" s="39"/>
      <c r="Q247" s="32" t="b">
        <f t="shared" si="1948"/>
        <v>0</v>
      </c>
      <c r="R247" s="9">
        <f t="shared" ref="R247" si="2390">IF($Q247=TRUE,G247*$D$1,0)</f>
        <v>0</v>
      </c>
      <c r="S247" s="9">
        <f t="shared" ref="S247" si="2391">IF($Q247=TRUE,H247*$D$1,0)</f>
        <v>0</v>
      </c>
      <c r="T247" s="9">
        <f t="shared" ref="T247" si="2392">IF($Q247=TRUE,I247*$D$1,0)</f>
        <v>0</v>
      </c>
      <c r="U247" s="9">
        <f t="shared" ref="U247" si="2393">IF($Q247=TRUE,J247*$D$1,0)</f>
        <v>0</v>
      </c>
      <c r="V247" s="9">
        <f t="shared" ref="V247" si="2394">IF($Q247=TRUE,K247*$D$1,0)</f>
        <v>0</v>
      </c>
      <c r="W247" s="9">
        <f t="shared" ref="W247" si="2395">IF($Q247=TRUE,L247*$D$1,0)</f>
        <v>0</v>
      </c>
      <c r="X247" s="9">
        <f t="shared" ref="X247" si="2396">IF($Q247=TRUE,M247*$D$1,0)</f>
        <v>0</v>
      </c>
      <c r="Y247" s="9">
        <f t="shared" ref="Y247" si="2397">IF($Q247=TRUE,N247*$D$1,0)</f>
        <v>0</v>
      </c>
      <c r="Z247" s="9">
        <f t="shared" ref="Z247" si="2398">IF($Q247=TRUE,O247*$D$1,0)</f>
        <v>0</v>
      </c>
      <c r="AA247" s="9">
        <f t="shared" ref="AA247" si="2399">IF($Q247=TRUE,P247*$D$1,0)</f>
        <v>0</v>
      </c>
    </row>
    <row r="248" spans="1:27" x14ac:dyDescent="0.2">
      <c r="A248" s="77"/>
      <c r="B248" s="10" t="s">
        <v>28</v>
      </c>
      <c r="C248" s="11" t="s">
        <v>184</v>
      </c>
      <c r="D248" s="12"/>
      <c r="E248" s="25"/>
      <c r="F248" s="25" t="b">
        <v>0</v>
      </c>
      <c r="G248" s="29"/>
      <c r="H248" s="29">
        <v>55</v>
      </c>
      <c r="I248" s="29"/>
      <c r="J248" s="29"/>
      <c r="K248" s="29"/>
      <c r="L248" s="29"/>
      <c r="M248" s="29"/>
      <c r="N248" s="29"/>
      <c r="O248" s="29"/>
      <c r="P248" s="39"/>
      <c r="Q248" s="33" t="b">
        <f t="shared" si="1959"/>
        <v>0</v>
      </c>
      <c r="R248" s="9">
        <f t="shared" ref="R248" si="2400">IF($Q248=TRUE,G248*$D$2,0)</f>
        <v>0</v>
      </c>
      <c r="S248" s="9">
        <f t="shared" ref="S248" si="2401">IF($Q248=TRUE,H248*$D$2,0)</f>
        <v>0</v>
      </c>
      <c r="T248" s="9">
        <f t="shared" ref="T248" si="2402">IF($Q248=TRUE,I248*$D$2,0)</f>
        <v>0</v>
      </c>
      <c r="U248" s="9">
        <f t="shared" ref="U248" si="2403">IF($Q248=TRUE,J248*$D$2,0)</f>
        <v>0</v>
      </c>
      <c r="V248" s="9">
        <f t="shared" ref="V248" si="2404">IF($Q248=TRUE,K248*$D$2,0)</f>
        <v>0</v>
      </c>
      <c r="W248" s="9">
        <f t="shared" ref="W248" si="2405">IF($Q248=TRUE,L248*$D$2,0)</f>
        <v>0</v>
      </c>
      <c r="X248" s="9">
        <f t="shared" ref="X248" si="2406">IF($Q248=TRUE,M248*$D$2,0)</f>
        <v>0</v>
      </c>
      <c r="Y248" s="9">
        <f t="shared" ref="Y248" si="2407">IF($Q248=TRUE,N248*$D$2,0)</f>
        <v>0</v>
      </c>
      <c r="Z248" s="9">
        <f t="shared" ref="Z248" si="2408">IF($Q248=TRUE,O248*$D$2,0)</f>
        <v>0</v>
      </c>
      <c r="AA248" s="9">
        <f t="shared" ref="AA248" si="2409">IF($Q248=TRUE,P248*$D$2,0)</f>
        <v>0</v>
      </c>
    </row>
    <row r="249" spans="1:27" x14ac:dyDescent="0.2">
      <c r="A249" s="77"/>
      <c r="B249" s="6" t="s">
        <v>23</v>
      </c>
      <c r="C249" s="7" t="s">
        <v>185</v>
      </c>
      <c r="D249" s="8"/>
      <c r="E249" s="8"/>
      <c r="F249" s="8" t="b">
        <v>0</v>
      </c>
      <c r="G249" s="29"/>
      <c r="H249" s="29"/>
      <c r="I249" s="29"/>
      <c r="J249" s="29"/>
      <c r="K249" s="29"/>
      <c r="L249" s="29"/>
      <c r="M249" s="29"/>
      <c r="N249" s="29"/>
      <c r="O249" s="29"/>
      <c r="P249" s="39"/>
      <c r="Q249" s="32" t="b">
        <f t="shared" si="1948"/>
        <v>0</v>
      </c>
      <c r="R249" s="9">
        <f t="shared" ref="R249" si="2410">IF($Q249=TRUE,G249*$D$1,0)</f>
        <v>0</v>
      </c>
      <c r="S249" s="9">
        <f t="shared" ref="S249" si="2411">IF($Q249=TRUE,H249*$D$1,0)</f>
        <v>0</v>
      </c>
      <c r="T249" s="9">
        <f t="shared" ref="T249" si="2412">IF($Q249=TRUE,I249*$D$1,0)</f>
        <v>0</v>
      </c>
      <c r="U249" s="9">
        <f t="shared" ref="U249" si="2413">IF($Q249=TRUE,J249*$D$1,0)</f>
        <v>0</v>
      </c>
      <c r="V249" s="9">
        <f t="shared" ref="V249" si="2414">IF($Q249=TRUE,K249*$D$1,0)</f>
        <v>0</v>
      </c>
      <c r="W249" s="9">
        <f t="shared" ref="W249" si="2415">IF($Q249=TRUE,L249*$D$1,0)</f>
        <v>0</v>
      </c>
      <c r="X249" s="9">
        <f t="shared" ref="X249" si="2416">IF($Q249=TRUE,M249*$D$1,0)</f>
        <v>0</v>
      </c>
      <c r="Y249" s="9">
        <f t="shared" ref="Y249" si="2417">IF($Q249=TRUE,N249*$D$1,0)</f>
        <v>0</v>
      </c>
      <c r="Z249" s="9">
        <f t="shared" ref="Z249" si="2418">IF($Q249=TRUE,O249*$D$1,0)</f>
        <v>0</v>
      </c>
      <c r="AA249" s="9">
        <f t="shared" ref="AA249" si="2419">IF($Q249=TRUE,P249*$D$1,0)</f>
        <v>0</v>
      </c>
    </row>
    <row r="250" spans="1:27" x14ac:dyDescent="0.2">
      <c r="A250" s="77"/>
      <c r="B250" s="10" t="s">
        <v>28</v>
      </c>
      <c r="C250" s="11" t="s">
        <v>185</v>
      </c>
      <c r="D250" s="12"/>
      <c r="E250" s="25"/>
      <c r="F250" s="25" t="b">
        <v>0</v>
      </c>
      <c r="G250" s="29"/>
      <c r="H250" s="29"/>
      <c r="I250" s="29"/>
      <c r="J250" s="29"/>
      <c r="K250" s="29"/>
      <c r="L250" s="29"/>
      <c r="M250" s="29"/>
      <c r="N250" s="29">
        <v>311.48</v>
      </c>
      <c r="O250" s="29"/>
      <c r="P250" s="39"/>
      <c r="Q250" s="33" t="b">
        <f t="shared" si="1959"/>
        <v>0</v>
      </c>
      <c r="R250" s="9">
        <f t="shared" ref="R250" si="2420">IF($Q250=TRUE,G250*$D$2,0)</f>
        <v>0</v>
      </c>
      <c r="S250" s="9">
        <f t="shared" ref="S250" si="2421">IF($Q250=TRUE,H250*$D$2,0)</f>
        <v>0</v>
      </c>
      <c r="T250" s="9">
        <f t="shared" ref="T250" si="2422">IF($Q250=TRUE,I250*$D$2,0)</f>
        <v>0</v>
      </c>
      <c r="U250" s="9">
        <f t="shared" ref="U250" si="2423">IF($Q250=TRUE,J250*$D$2,0)</f>
        <v>0</v>
      </c>
      <c r="V250" s="9">
        <f t="shared" ref="V250" si="2424">IF($Q250=TRUE,K250*$D$2,0)</f>
        <v>0</v>
      </c>
      <c r="W250" s="9">
        <f t="shared" ref="W250" si="2425">IF($Q250=TRUE,L250*$D$2,0)</f>
        <v>0</v>
      </c>
      <c r="X250" s="9">
        <f t="shared" ref="X250" si="2426">IF($Q250=TRUE,M250*$D$2,0)</f>
        <v>0</v>
      </c>
      <c r="Y250" s="9">
        <f t="shared" ref="Y250" si="2427">IF($Q250=TRUE,N250*$D$2,0)</f>
        <v>0</v>
      </c>
      <c r="Z250" s="9">
        <f t="shared" ref="Z250" si="2428">IF($Q250=TRUE,O250*$D$2,0)</f>
        <v>0</v>
      </c>
      <c r="AA250" s="9">
        <f t="shared" ref="AA250" si="2429">IF($Q250=TRUE,P250*$D$2,0)</f>
        <v>0</v>
      </c>
    </row>
    <row r="251" spans="1:27" x14ac:dyDescent="0.2">
      <c r="A251" s="77"/>
      <c r="B251" s="6" t="s">
        <v>23</v>
      </c>
      <c r="C251" s="7" t="s">
        <v>186</v>
      </c>
      <c r="D251" s="8"/>
      <c r="E251" s="8"/>
      <c r="F251" s="8" t="b">
        <v>0</v>
      </c>
      <c r="G251" s="29"/>
      <c r="H251" s="29"/>
      <c r="I251" s="29"/>
      <c r="J251" s="29"/>
      <c r="K251" s="29"/>
      <c r="L251" s="29"/>
      <c r="M251" s="29"/>
      <c r="N251" s="29"/>
      <c r="O251" s="29"/>
      <c r="P251" s="39"/>
      <c r="Q251" s="32" t="b">
        <f t="shared" si="1948"/>
        <v>0</v>
      </c>
      <c r="R251" s="9">
        <f t="shared" ref="R251" si="2430">IF($Q251=TRUE,G251*$D$1,0)</f>
        <v>0</v>
      </c>
      <c r="S251" s="9">
        <f t="shared" ref="S251" si="2431">IF($Q251=TRUE,H251*$D$1,0)</f>
        <v>0</v>
      </c>
      <c r="T251" s="9">
        <f t="shared" ref="T251" si="2432">IF($Q251=TRUE,I251*$D$1,0)</f>
        <v>0</v>
      </c>
      <c r="U251" s="9">
        <f t="shared" ref="U251" si="2433">IF($Q251=TRUE,J251*$D$1,0)</f>
        <v>0</v>
      </c>
      <c r="V251" s="9">
        <f t="shared" ref="V251" si="2434">IF($Q251=TRUE,K251*$D$1,0)</f>
        <v>0</v>
      </c>
      <c r="W251" s="9">
        <f t="shared" ref="W251" si="2435">IF($Q251=TRUE,L251*$D$1,0)</f>
        <v>0</v>
      </c>
      <c r="X251" s="9">
        <f t="shared" ref="X251" si="2436">IF($Q251=TRUE,M251*$D$1,0)</f>
        <v>0</v>
      </c>
      <c r="Y251" s="9">
        <f t="shared" ref="Y251" si="2437">IF($Q251=TRUE,N251*$D$1,0)</f>
        <v>0</v>
      </c>
      <c r="Z251" s="9">
        <f t="shared" ref="Z251" si="2438">IF($Q251=TRUE,O251*$D$1,0)</f>
        <v>0</v>
      </c>
      <c r="AA251" s="9">
        <f t="shared" ref="AA251" si="2439">IF($Q251=TRUE,P251*$D$1,0)</f>
        <v>0</v>
      </c>
    </row>
    <row r="252" spans="1:27" x14ac:dyDescent="0.2">
      <c r="A252" s="77"/>
      <c r="B252" s="10" t="s">
        <v>28</v>
      </c>
      <c r="C252" s="11" t="s">
        <v>186</v>
      </c>
      <c r="D252" s="12"/>
      <c r="E252" s="25"/>
      <c r="F252" s="25" t="b">
        <v>0</v>
      </c>
      <c r="G252" s="29"/>
      <c r="H252" s="29"/>
      <c r="I252" s="29"/>
      <c r="J252" s="29"/>
      <c r="K252" s="29"/>
      <c r="L252" s="29"/>
      <c r="M252" s="29"/>
      <c r="N252" s="29">
        <v>373.18</v>
      </c>
      <c r="O252" s="29"/>
      <c r="P252" s="39"/>
      <c r="Q252" s="33" t="b">
        <f t="shared" si="1959"/>
        <v>0</v>
      </c>
      <c r="R252" s="9">
        <f t="shared" ref="R252" si="2440">IF($Q252=TRUE,G252*$D$2,0)</f>
        <v>0</v>
      </c>
      <c r="S252" s="9">
        <f t="shared" ref="S252" si="2441">IF($Q252=TRUE,H252*$D$2,0)</f>
        <v>0</v>
      </c>
      <c r="T252" s="9">
        <f t="shared" ref="T252" si="2442">IF($Q252=TRUE,I252*$D$2,0)</f>
        <v>0</v>
      </c>
      <c r="U252" s="9">
        <f t="shared" ref="U252" si="2443">IF($Q252=TRUE,J252*$D$2,0)</f>
        <v>0</v>
      </c>
      <c r="V252" s="9">
        <f t="shared" ref="V252" si="2444">IF($Q252=TRUE,K252*$D$2,0)</f>
        <v>0</v>
      </c>
      <c r="W252" s="9">
        <f t="shared" ref="W252" si="2445">IF($Q252=TRUE,L252*$D$2,0)</f>
        <v>0</v>
      </c>
      <c r="X252" s="9">
        <f t="shared" ref="X252" si="2446">IF($Q252=TRUE,M252*$D$2,0)</f>
        <v>0</v>
      </c>
      <c r="Y252" s="9">
        <f t="shared" ref="Y252" si="2447">IF($Q252=TRUE,N252*$D$2,0)</f>
        <v>0</v>
      </c>
      <c r="Z252" s="9">
        <f t="shared" ref="Z252" si="2448">IF($Q252=TRUE,O252*$D$2,0)</f>
        <v>0</v>
      </c>
      <c r="AA252" s="9">
        <f t="shared" ref="AA252" si="2449">IF($Q252=TRUE,P252*$D$2,0)</f>
        <v>0</v>
      </c>
    </row>
    <row r="253" spans="1:27" x14ac:dyDescent="0.2">
      <c r="A253" s="77"/>
      <c r="B253" s="6" t="s">
        <v>23</v>
      </c>
      <c r="C253" s="7" t="s">
        <v>187</v>
      </c>
      <c r="D253" s="8"/>
      <c r="E253" s="8"/>
      <c r="F253" s="8" t="b">
        <v>0</v>
      </c>
      <c r="G253" s="29"/>
      <c r="H253" s="29"/>
      <c r="I253" s="29"/>
      <c r="J253" s="29"/>
      <c r="K253" s="29">
        <v>84</v>
      </c>
      <c r="L253" s="29"/>
      <c r="M253" s="29"/>
      <c r="N253" s="29"/>
      <c r="O253" s="29"/>
      <c r="P253" s="39"/>
      <c r="Q253" s="32" t="b">
        <f t="shared" si="1948"/>
        <v>0</v>
      </c>
      <c r="R253" s="9">
        <f t="shared" ref="R253" si="2450">IF($Q253=TRUE,G253*$D$1,0)</f>
        <v>0</v>
      </c>
      <c r="S253" s="9">
        <f t="shared" ref="S253" si="2451">IF($Q253=TRUE,H253*$D$1,0)</f>
        <v>0</v>
      </c>
      <c r="T253" s="9">
        <f t="shared" ref="T253" si="2452">IF($Q253=TRUE,I253*$D$1,0)</f>
        <v>0</v>
      </c>
      <c r="U253" s="9">
        <f t="shared" ref="U253" si="2453">IF($Q253=TRUE,J253*$D$1,0)</f>
        <v>0</v>
      </c>
      <c r="V253" s="9">
        <f t="shared" ref="V253" si="2454">IF($Q253=TRUE,K253*$D$1,0)</f>
        <v>0</v>
      </c>
      <c r="W253" s="9">
        <f t="shared" ref="W253" si="2455">IF($Q253=TRUE,L253*$D$1,0)</f>
        <v>0</v>
      </c>
      <c r="X253" s="9">
        <f t="shared" ref="X253" si="2456">IF($Q253=TRUE,M253*$D$1,0)</f>
        <v>0</v>
      </c>
      <c r="Y253" s="9">
        <f t="shared" ref="Y253" si="2457">IF($Q253=TRUE,N253*$D$1,0)</f>
        <v>0</v>
      </c>
      <c r="Z253" s="9">
        <f t="shared" ref="Z253" si="2458">IF($Q253=TRUE,O253*$D$1,0)</f>
        <v>0</v>
      </c>
      <c r="AA253" s="9">
        <f t="shared" ref="AA253" si="2459">IF($Q253=TRUE,P253*$D$1,0)</f>
        <v>0</v>
      </c>
    </row>
    <row r="254" spans="1:27" x14ac:dyDescent="0.2">
      <c r="A254" s="77"/>
      <c r="B254" s="10" t="s">
        <v>28</v>
      </c>
      <c r="C254" s="11" t="s">
        <v>187</v>
      </c>
      <c r="D254" s="12"/>
      <c r="E254" s="25"/>
      <c r="F254" s="25" t="b">
        <v>0</v>
      </c>
      <c r="G254" s="29"/>
      <c r="H254" s="29"/>
      <c r="I254" s="29"/>
      <c r="J254" s="29"/>
      <c r="K254" s="29">
        <v>84</v>
      </c>
      <c r="L254" s="29"/>
      <c r="M254" s="29"/>
      <c r="N254" s="29"/>
      <c r="O254" s="29"/>
      <c r="P254" s="39"/>
      <c r="Q254" s="33" t="b">
        <f t="shared" si="1959"/>
        <v>0</v>
      </c>
      <c r="R254" s="9">
        <f t="shared" ref="R254" si="2460">IF($Q254=TRUE,G254*$D$2,0)</f>
        <v>0</v>
      </c>
      <c r="S254" s="9">
        <f t="shared" ref="S254" si="2461">IF($Q254=TRUE,H254*$D$2,0)</f>
        <v>0</v>
      </c>
      <c r="T254" s="9">
        <f t="shared" ref="T254" si="2462">IF($Q254=TRUE,I254*$D$2,0)</f>
        <v>0</v>
      </c>
      <c r="U254" s="9">
        <f t="shared" ref="U254" si="2463">IF($Q254=TRUE,J254*$D$2,0)</f>
        <v>0</v>
      </c>
      <c r="V254" s="9">
        <f t="shared" ref="V254" si="2464">IF($Q254=TRUE,K254*$D$2,0)</f>
        <v>0</v>
      </c>
      <c r="W254" s="9">
        <f t="shared" ref="W254" si="2465">IF($Q254=TRUE,L254*$D$2,0)</f>
        <v>0</v>
      </c>
      <c r="X254" s="9">
        <f t="shared" ref="X254" si="2466">IF($Q254=TRUE,M254*$D$2,0)</f>
        <v>0</v>
      </c>
      <c r="Y254" s="9">
        <f t="shared" ref="Y254" si="2467">IF($Q254=TRUE,N254*$D$2,0)</f>
        <v>0</v>
      </c>
      <c r="Z254" s="9">
        <f t="shared" ref="Z254" si="2468">IF($Q254=TRUE,O254*$D$2,0)</f>
        <v>0</v>
      </c>
      <c r="AA254" s="9">
        <f t="shared" ref="AA254" si="2469">IF($Q254=TRUE,P254*$D$2,0)</f>
        <v>0</v>
      </c>
    </row>
    <row r="255" spans="1:27" x14ac:dyDescent="0.2">
      <c r="A255" s="77"/>
      <c r="B255" s="6" t="s">
        <v>23</v>
      </c>
      <c r="C255" s="7" t="s">
        <v>188</v>
      </c>
      <c r="D255" s="8"/>
      <c r="E255" s="8"/>
      <c r="F255" s="8" t="b">
        <v>0</v>
      </c>
      <c r="G255" s="29"/>
      <c r="H255" s="29"/>
      <c r="I255" s="29"/>
      <c r="J255" s="29"/>
      <c r="K255" s="29">
        <v>108</v>
      </c>
      <c r="L255" s="29"/>
      <c r="M255" s="29"/>
      <c r="N255" s="29"/>
      <c r="O255" s="29"/>
      <c r="P255" s="39"/>
      <c r="Q255" s="32" t="b">
        <f t="shared" si="1948"/>
        <v>0</v>
      </c>
      <c r="R255" s="9">
        <f t="shared" ref="R255" si="2470">IF($Q255=TRUE,G255*$D$1,0)</f>
        <v>0</v>
      </c>
      <c r="S255" s="9">
        <f t="shared" ref="S255" si="2471">IF($Q255=TRUE,H255*$D$1,0)</f>
        <v>0</v>
      </c>
      <c r="T255" s="9">
        <f t="shared" ref="T255" si="2472">IF($Q255=TRUE,I255*$D$1,0)</f>
        <v>0</v>
      </c>
      <c r="U255" s="9">
        <f t="shared" ref="U255" si="2473">IF($Q255=TRUE,J255*$D$1,0)</f>
        <v>0</v>
      </c>
      <c r="V255" s="9">
        <f t="shared" ref="V255" si="2474">IF($Q255=TRUE,K255*$D$1,0)</f>
        <v>0</v>
      </c>
      <c r="W255" s="9">
        <f t="shared" ref="W255" si="2475">IF($Q255=TRUE,L255*$D$1,0)</f>
        <v>0</v>
      </c>
      <c r="X255" s="9">
        <f t="shared" ref="X255" si="2476">IF($Q255=TRUE,M255*$D$1,0)</f>
        <v>0</v>
      </c>
      <c r="Y255" s="9">
        <f t="shared" ref="Y255" si="2477">IF($Q255=TRUE,N255*$D$1,0)</f>
        <v>0</v>
      </c>
      <c r="Z255" s="9">
        <f t="shared" ref="Z255" si="2478">IF($Q255=TRUE,O255*$D$1,0)</f>
        <v>0</v>
      </c>
      <c r="AA255" s="9">
        <f t="shared" ref="AA255" si="2479">IF($Q255=TRUE,P255*$D$1,0)</f>
        <v>0</v>
      </c>
    </row>
    <row r="256" spans="1:27" x14ac:dyDescent="0.2">
      <c r="A256" s="77"/>
      <c r="B256" s="10" t="s">
        <v>28</v>
      </c>
      <c r="C256" s="11" t="s">
        <v>188</v>
      </c>
      <c r="D256" s="12"/>
      <c r="E256" s="25"/>
      <c r="F256" s="25" t="b">
        <v>0</v>
      </c>
      <c r="G256" s="29"/>
      <c r="H256" s="29"/>
      <c r="I256" s="29"/>
      <c r="J256" s="29"/>
      <c r="K256" s="29">
        <v>108</v>
      </c>
      <c r="L256" s="29"/>
      <c r="M256" s="29"/>
      <c r="N256" s="29"/>
      <c r="O256" s="29"/>
      <c r="P256" s="39"/>
      <c r="Q256" s="33" t="b">
        <f t="shared" si="1959"/>
        <v>0</v>
      </c>
      <c r="R256" s="9">
        <f t="shared" ref="R256" si="2480">IF($Q256=TRUE,G256*$D$2,0)</f>
        <v>0</v>
      </c>
      <c r="S256" s="9">
        <f t="shared" ref="S256" si="2481">IF($Q256=TRUE,H256*$D$2,0)</f>
        <v>0</v>
      </c>
      <c r="T256" s="9">
        <f t="shared" ref="T256" si="2482">IF($Q256=TRUE,I256*$D$2,0)</f>
        <v>0</v>
      </c>
      <c r="U256" s="9">
        <f t="shared" ref="U256" si="2483">IF($Q256=TRUE,J256*$D$2,0)</f>
        <v>0</v>
      </c>
      <c r="V256" s="9">
        <f t="shared" ref="V256" si="2484">IF($Q256=TRUE,K256*$D$2,0)</f>
        <v>0</v>
      </c>
      <c r="W256" s="9">
        <f t="shared" ref="W256" si="2485">IF($Q256=TRUE,L256*$D$2,0)</f>
        <v>0</v>
      </c>
      <c r="X256" s="9">
        <f t="shared" ref="X256" si="2486">IF($Q256=TRUE,M256*$D$2,0)</f>
        <v>0</v>
      </c>
      <c r="Y256" s="9">
        <f t="shared" ref="Y256" si="2487">IF($Q256=TRUE,N256*$D$2,0)</f>
        <v>0</v>
      </c>
      <c r="Z256" s="9">
        <f t="shared" ref="Z256" si="2488">IF($Q256=TRUE,O256*$D$2,0)</f>
        <v>0</v>
      </c>
      <c r="AA256" s="9">
        <f t="shared" ref="AA256" si="2489">IF($Q256=TRUE,P256*$D$2,0)</f>
        <v>0</v>
      </c>
    </row>
    <row r="257" spans="1:27" x14ac:dyDescent="0.2">
      <c r="A257" s="77"/>
      <c r="B257" s="6" t="s">
        <v>23</v>
      </c>
      <c r="C257" s="7" t="s">
        <v>189</v>
      </c>
      <c r="D257" s="8"/>
      <c r="E257" s="8"/>
      <c r="F257" s="8" t="b">
        <v>0</v>
      </c>
      <c r="G257" s="29"/>
      <c r="H257" s="29"/>
      <c r="I257" s="29"/>
      <c r="J257" s="29"/>
      <c r="K257" s="29">
        <v>72</v>
      </c>
      <c r="L257" s="29"/>
      <c r="M257" s="29"/>
      <c r="N257" s="29"/>
      <c r="O257" s="29"/>
      <c r="P257" s="39"/>
      <c r="Q257" s="32" t="b">
        <f t="shared" si="1948"/>
        <v>0</v>
      </c>
      <c r="R257" s="9">
        <f t="shared" ref="R257" si="2490">IF($Q257=TRUE,G257*$D$1,0)</f>
        <v>0</v>
      </c>
      <c r="S257" s="9">
        <f t="shared" ref="S257" si="2491">IF($Q257=TRUE,H257*$D$1,0)</f>
        <v>0</v>
      </c>
      <c r="T257" s="9">
        <f t="shared" ref="T257" si="2492">IF($Q257=TRUE,I257*$D$1,0)</f>
        <v>0</v>
      </c>
      <c r="U257" s="9">
        <f t="shared" ref="U257" si="2493">IF($Q257=TRUE,J257*$D$1,0)</f>
        <v>0</v>
      </c>
      <c r="V257" s="9">
        <f t="shared" ref="V257" si="2494">IF($Q257=TRUE,K257*$D$1,0)</f>
        <v>0</v>
      </c>
      <c r="W257" s="9">
        <f t="shared" ref="W257" si="2495">IF($Q257=TRUE,L257*$D$1,0)</f>
        <v>0</v>
      </c>
      <c r="X257" s="9">
        <f t="shared" ref="X257" si="2496">IF($Q257=TRUE,M257*$D$1,0)</f>
        <v>0</v>
      </c>
      <c r="Y257" s="9">
        <f t="shared" ref="Y257" si="2497">IF($Q257=TRUE,N257*$D$1,0)</f>
        <v>0</v>
      </c>
      <c r="Z257" s="9">
        <f t="shared" ref="Z257" si="2498">IF($Q257=TRUE,O257*$D$1,0)</f>
        <v>0</v>
      </c>
      <c r="AA257" s="9">
        <f t="shared" ref="AA257" si="2499">IF($Q257=TRUE,P257*$D$1,0)</f>
        <v>0</v>
      </c>
    </row>
    <row r="258" spans="1:27" x14ac:dyDescent="0.2">
      <c r="A258" s="77"/>
      <c r="B258" s="10" t="s">
        <v>28</v>
      </c>
      <c r="C258" s="11" t="s">
        <v>189</v>
      </c>
      <c r="D258" s="12"/>
      <c r="E258" s="25"/>
      <c r="F258" s="25" t="b">
        <v>0</v>
      </c>
      <c r="G258" s="29"/>
      <c r="H258" s="29"/>
      <c r="I258" s="29"/>
      <c r="J258" s="29"/>
      <c r="K258" s="29"/>
      <c r="L258" s="29"/>
      <c r="M258" s="29"/>
      <c r="N258" s="29"/>
      <c r="O258" s="29"/>
      <c r="P258" s="39"/>
      <c r="Q258" s="33" t="b">
        <f t="shared" si="1959"/>
        <v>0</v>
      </c>
      <c r="R258" s="9">
        <f t="shared" ref="R258" si="2500">IF($Q258=TRUE,G258*$D$2,0)</f>
        <v>0</v>
      </c>
      <c r="S258" s="9">
        <f t="shared" ref="S258" si="2501">IF($Q258=TRUE,H258*$D$2,0)</f>
        <v>0</v>
      </c>
      <c r="T258" s="9">
        <f t="shared" ref="T258" si="2502">IF($Q258=TRUE,I258*$D$2,0)</f>
        <v>0</v>
      </c>
      <c r="U258" s="9">
        <f t="shared" ref="U258" si="2503">IF($Q258=TRUE,J258*$D$2,0)</f>
        <v>0</v>
      </c>
      <c r="V258" s="9">
        <f t="shared" ref="V258" si="2504">IF($Q258=TRUE,K258*$D$2,0)</f>
        <v>0</v>
      </c>
      <c r="W258" s="9">
        <f t="shared" ref="W258" si="2505">IF($Q258=TRUE,L258*$D$2,0)</f>
        <v>0</v>
      </c>
      <c r="X258" s="9">
        <f t="shared" ref="X258" si="2506">IF($Q258=TRUE,M258*$D$2,0)</f>
        <v>0</v>
      </c>
      <c r="Y258" s="9">
        <f t="shared" ref="Y258" si="2507">IF($Q258=TRUE,N258*$D$2,0)</f>
        <v>0</v>
      </c>
      <c r="Z258" s="9">
        <f t="shared" ref="Z258" si="2508">IF($Q258=TRUE,O258*$D$2,0)</f>
        <v>0</v>
      </c>
      <c r="AA258" s="9">
        <f t="shared" ref="AA258" si="2509">IF($Q258=TRUE,P258*$D$2,0)</f>
        <v>0</v>
      </c>
    </row>
    <row r="259" spans="1:27" x14ac:dyDescent="0.2">
      <c r="A259" s="77"/>
      <c r="B259" s="6" t="s">
        <v>23</v>
      </c>
      <c r="C259" s="7" t="s">
        <v>190</v>
      </c>
      <c r="D259" s="8"/>
      <c r="E259" s="8"/>
      <c r="F259" s="8" t="b">
        <v>0</v>
      </c>
      <c r="G259" s="29">
        <v>125</v>
      </c>
      <c r="H259" s="29"/>
      <c r="I259" s="29"/>
      <c r="J259" s="29"/>
      <c r="K259" s="29">
        <v>48</v>
      </c>
      <c r="L259" s="29"/>
      <c r="M259" s="29"/>
      <c r="N259" s="29"/>
      <c r="O259" s="29"/>
      <c r="P259" s="39"/>
      <c r="Q259" s="32" t="b">
        <f t="shared" si="1948"/>
        <v>0</v>
      </c>
      <c r="R259" s="9">
        <f t="shared" ref="R259" si="2510">IF($Q259=TRUE,G259*$D$1,0)</f>
        <v>0</v>
      </c>
      <c r="S259" s="9">
        <f t="shared" ref="S259" si="2511">IF($Q259=TRUE,H259*$D$1,0)</f>
        <v>0</v>
      </c>
      <c r="T259" s="9">
        <f t="shared" ref="T259" si="2512">IF($Q259=TRUE,I259*$D$1,0)</f>
        <v>0</v>
      </c>
      <c r="U259" s="9">
        <f t="shared" ref="U259" si="2513">IF($Q259=TRUE,J259*$D$1,0)</f>
        <v>0</v>
      </c>
      <c r="V259" s="9">
        <f t="shared" ref="V259" si="2514">IF($Q259=TRUE,K259*$D$1,0)</f>
        <v>0</v>
      </c>
      <c r="W259" s="9">
        <f t="shared" ref="W259" si="2515">IF($Q259=TRUE,L259*$D$1,0)</f>
        <v>0</v>
      </c>
      <c r="X259" s="9">
        <f t="shared" ref="X259" si="2516">IF($Q259=TRUE,M259*$D$1,0)</f>
        <v>0</v>
      </c>
      <c r="Y259" s="9">
        <f t="shared" ref="Y259" si="2517">IF($Q259=TRUE,N259*$D$1,0)</f>
        <v>0</v>
      </c>
      <c r="Z259" s="9">
        <f t="shared" ref="Z259" si="2518">IF($Q259=TRUE,O259*$D$1,0)</f>
        <v>0</v>
      </c>
      <c r="AA259" s="9">
        <f t="shared" ref="AA259" si="2519">IF($Q259=TRUE,P259*$D$1,0)</f>
        <v>0</v>
      </c>
    </row>
    <row r="260" spans="1:27" x14ac:dyDescent="0.2">
      <c r="A260" s="77"/>
      <c r="B260" s="10" t="s">
        <v>28</v>
      </c>
      <c r="C260" s="11" t="s">
        <v>190</v>
      </c>
      <c r="D260" s="12"/>
      <c r="E260" s="25"/>
      <c r="F260" s="25" t="b">
        <v>0</v>
      </c>
      <c r="G260" s="29">
        <v>225</v>
      </c>
      <c r="H260" s="29"/>
      <c r="I260" s="29"/>
      <c r="J260" s="29"/>
      <c r="K260" s="29">
        <v>48</v>
      </c>
      <c r="L260" s="29"/>
      <c r="M260" s="29"/>
      <c r="N260" s="29"/>
      <c r="O260" s="29"/>
      <c r="P260" s="39"/>
      <c r="Q260" s="33" t="b">
        <f t="shared" si="1959"/>
        <v>0</v>
      </c>
      <c r="R260" s="9">
        <f t="shared" ref="R260" si="2520">IF($Q260=TRUE,G260*$D$2,0)</f>
        <v>0</v>
      </c>
      <c r="S260" s="9">
        <f t="shared" ref="S260" si="2521">IF($Q260=TRUE,H260*$D$2,0)</f>
        <v>0</v>
      </c>
      <c r="T260" s="9">
        <f t="shared" ref="T260" si="2522">IF($Q260=TRUE,I260*$D$2,0)</f>
        <v>0</v>
      </c>
      <c r="U260" s="9">
        <f t="shared" ref="U260" si="2523">IF($Q260=TRUE,J260*$D$2,0)</f>
        <v>0</v>
      </c>
      <c r="V260" s="9">
        <f t="shared" ref="V260" si="2524">IF($Q260=TRUE,K260*$D$2,0)</f>
        <v>0</v>
      </c>
      <c r="W260" s="9">
        <f t="shared" ref="W260" si="2525">IF($Q260=TRUE,L260*$D$2,0)</f>
        <v>0</v>
      </c>
      <c r="X260" s="9">
        <f t="shared" ref="X260" si="2526">IF($Q260=TRUE,M260*$D$2,0)</f>
        <v>0</v>
      </c>
      <c r="Y260" s="9">
        <f t="shared" ref="Y260" si="2527">IF($Q260=TRUE,N260*$D$2,0)</f>
        <v>0</v>
      </c>
      <c r="Z260" s="9">
        <f t="shared" ref="Z260" si="2528">IF($Q260=TRUE,O260*$D$2,0)</f>
        <v>0</v>
      </c>
      <c r="AA260" s="9">
        <f t="shared" ref="AA260" si="2529">IF($Q260=TRUE,P260*$D$2,0)</f>
        <v>0</v>
      </c>
    </row>
    <row r="261" spans="1:27" x14ac:dyDescent="0.2">
      <c r="A261" s="77"/>
      <c r="B261" s="6" t="s">
        <v>23</v>
      </c>
      <c r="C261" s="7" t="s">
        <v>191</v>
      </c>
      <c r="D261" s="8"/>
      <c r="E261" s="8"/>
      <c r="F261" s="8" t="b">
        <v>0</v>
      </c>
      <c r="G261" s="29"/>
      <c r="H261" s="29"/>
      <c r="I261" s="29"/>
      <c r="J261" s="29"/>
      <c r="K261" s="29"/>
      <c r="L261" s="29">
        <v>110</v>
      </c>
      <c r="M261" s="29"/>
      <c r="N261" s="29"/>
      <c r="O261" s="29"/>
      <c r="P261" s="39"/>
      <c r="Q261" s="32" t="b">
        <f t="shared" si="1948"/>
        <v>0</v>
      </c>
      <c r="R261" s="9">
        <f t="shared" ref="R261" si="2530">IF($Q261=TRUE,G261*$D$1,0)</f>
        <v>0</v>
      </c>
      <c r="S261" s="9">
        <f t="shared" ref="S261" si="2531">IF($Q261=TRUE,H261*$D$1,0)</f>
        <v>0</v>
      </c>
      <c r="T261" s="9">
        <f t="shared" ref="T261" si="2532">IF($Q261=TRUE,I261*$D$1,0)</f>
        <v>0</v>
      </c>
      <c r="U261" s="9">
        <f t="shared" ref="U261" si="2533">IF($Q261=TRUE,J261*$D$1,0)</f>
        <v>0</v>
      </c>
      <c r="V261" s="9">
        <f t="shared" ref="V261" si="2534">IF($Q261=TRUE,K261*$D$1,0)</f>
        <v>0</v>
      </c>
      <c r="W261" s="9">
        <f t="shared" ref="W261" si="2535">IF($Q261=TRUE,L261*$D$1,0)</f>
        <v>0</v>
      </c>
      <c r="X261" s="9">
        <f t="shared" ref="X261" si="2536">IF($Q261=TRUE,M261*$D$1,0)</f>
        <v>0</v>
      </c>
      <c r="Y261" s="9">
        <f t="shared" ref="Y261" si="2537">IF($Q261=TRUE,N261*$D$1,0)</f>
        <v>0</v>
      </c>
      <c r="Z261" s="9">
        <f t="shared" ref="Z261" si="2538">IF($Q261=TRUE,O261*$D$1,0)</f>
        <v>0</v>
      </c>
      <c r="AA261" s="9">
        <f t="shared" ref="AA261" si="2539">IF($Q261=TRUE,P261*$D$1,0)</f>
        <v>0</v>
      </c>
    </row>
    <row r="262" spans="1:27" ht="13.5" thickBot="1" x14ac:dyDescent="0.25">
      <c r="A262" s="78"/>
      <c r="B262" s="40" t="s">
        <v>28</v>
      </c>
      <c r="C262" s="41" t="s">
        <v>191</v>
      </c>
      <c r="D262" s="42"/>
      <c r="E262" s="43"/>
      <c r="F262" s="43" t="b">
        <v>0</v>
      </c>
      <c r="G262" s="44"/>
      <c r="H262" s="44"/>
      <c r="I262" s="44"/>
      <c r="J262" s="44"/>
      <c r="K262" s="44"/>
      <c r="L262" s="44">
        <v>160</v>
      </c>
      <c r="M262" s="44"/>
      <c r="N262" s="44"/>
      <c r="O262" s="44"/>
      <c r="P262" s="45"/>
      <c r="Q262" s="33" t="b">
        <f t="shared" si="1959"/>
        <v>0</v>
      </c>
      <c r="R262" s="9">
        <f t="shared" ref="R262" si="2540">IF($Q262=TRUE,G262*$D$2,0)</f>
        <v>0</v>
      </c>
      <c r="S262" s="9">
        <f t="shared" ref="S262" si="2541">IF($Q262=TRUE,H262*$D$2,0)</f>
        <v>0</v>
      </c>
      <c r="T262" s="9">
        <f t="shared" ref="T262" si="2542">IF($Q262=TRUE,I262*$D$2,0)</f>
        <v>0</v>
      </c>
      <c r="U262" s="9">
        <f t="shared" ref="U262" si="2543">IF($Q262=TRUE,J262*$D$2,0)</f>
        <v>0</v>
      </c>
      <c r="V262" s="9">
        <f t="shared" ref="V262" si="2544">IF($Q262=TRUE,K262*$D$2,0)</f>
        <v>0</v>
      </c>
      <c r="W262" s="9">
        <f t="shared" ref="W262" si="2545">IF($Q262=TRUE,L262*$D$2,0)</f>
        <v>0</v>
      </c>
      <c r="X262" s="9">
        <f t="shared" ref="X262" si="2546">IF($Q262=TRUE,M262*$D$2,0)</f>
        <v>0</v>
      </c>
      <c r="Y262" s="9">
        <f t="shared" ref="Y262" si="2547">IF($Q262=TRUE,N262*$D$2,0)</f>
        <v>0</v>
      </c>
      <c r="Z262" s="9">
        <f t="shared" ref="Z262" si="2548">IF($Q262=TRUE,O262*$D$2,0)</f>
        <v>0</v>
      </c>
      <c r="AA262" s="9">
        <f t="shared" ref="AA262" si="2549">IF($Q262=TRUE,P262*$D$2,0)</f>
        <v>0</v>
      </c>
    </row>
    <row r="263" spans="1:27" x14ac:dyDescent="0.2">
      <c r="A263" s="76" t="s">
        <v>192</v>
      </c>
      <c r="B263" s="34" t="s">
        <v>23</v>
      </c>
      <c r="C263" s="35" t="s">
        <v>193</v>
      </c>
      <c r="D263" s="36"/>
      <c r="E263" s="36"/>
      <c r="F263" s="36" t="b">
        <v>0</v>
      </c>
      <c r="G263" s="62"/>
      <c r="H263" s="62"/>
      <c r="I263" s="62"/>
      <c r="J263" s="62"/>
      <c r="K263" s="62"/>
      <c r="L263" s="62"/>
      <c r="M263" s="62"/>
      <c r="N263" s="62"/>
      <c r="O263" s="62"/>
      <c r="P263" s="63"/>
      <c r="Q263" s="32" t="b">
        <f t="shared" si="1948"/>
        <v>0</v>
      </c>
      <c r="R263" s="9">
        <f t="shared" ref="R263" si="2550">IF($Q263=TRUE,G263*$D$1,0)</f>
        <v>0</v>
      </c>
      <c r="S263" s="9">
        <f t="shared" ref="S263" si="2551">IF($Q263=TRUE,H263*$D$1,0)</f>
        <v>0</v>
      </c>
      <c r="T263" s="9">
        <f t="shared" ref="T263" si="2552">IF($Q263=TRUE,I263*$D$1,0)</f>
        <v>0</v>
      </c>
      <c r="U263" s="9">
        <f t="shared" ref="U263" si="2553">IF($Q263=TRUE,J263*$D$1,0)</f>
        <v>0</v>
      </c>
      <c r="V263" s="9">
        <f t="shared" ref="V263" si="2554">IF($Q263=TRUE,K263*$D$1,0)</f>
        <v>0</v>
      </c>
      <c r="W263" s="9">
        <f t="shared" ref="W263" si="2555">IF($Q263=TRUE,L263*$D$1,0)</f>
        <v>0</v>
      </c>
      <c r="X263" s="9">
        <f t="shared" ref="X263" si="2556">IF($Q263=TRUE,M263*$D$1,0)</f>
        <v>0</v>
      </c>
      <c r="Y263" s="9">
        <f t="shared" ref="Y263" si="2557">IF($Q263=TRUE,N263*$D$1,0)</f>
        <v>0</v>
      </c>
      <c r="Z263" s="9">
        <f t="shared" ref="Z263" si="2558">IF($Q263=TRUE,O263*$D$1,0)</f>
        <v>0</v>
      </c>
      <c r="AA263" s="9">
        <f t="shared" ref="AA263" si="2559">IF($Q263=TRUE,P263*$D$1,0)</f>
        <v>0</v>
      </c>
    </row>
    <row r="264" spans="1:27" x14ac:dyDescent="0.2">
      <c r="A264" s="77"/>
      <c r="B264" s="10" t="s">
        <v>28</v>
      </c>
      <c r="C264" s="11" t="s">
        <v>193</v>
      </c>
      <c r="D264" s="12"/>
      <c r="E264" s="25"/>
      <c r="F264" s="25" t="b">
        <v>0</v>
      </c>
      <c r="G264" s="30"/>
      <c r="H264" s="30"/>
      <c r="I264" s="30"/>
      <c r="J264" s="30">
        <v>375</v>
      </c>
      <c r="K264" s="30"/>
      <c r="L264" s="30"/>
      <c r="M264" s="30"/>
      <c r="N264" s="30"/>
      <c r="O264" s="30"/>
      <c r="P264" s="64"/>
      <c r="Q264" s="33" t="b">
        <f t="shared" si="1959"/>
        <v>0</v>
      </c>
      <c r="R264" s="9">
        <f t="shared" ref="R264" si="2560">IF($Q264=TRUE,G264*$D$2,0)</f>
        <v>0</v>
      </c>
      <c r="S264" s="9">
        <f t="shared" ref="S264" si="2561">IF($Q264=TRUE,H264*$D$2,0)</f>
        <v>0</v>
      </c>
      <c r="T264" s="9">
        <f t="shared" ref="T264" si="2562">IF($Q264=TRUE,I264*$D$2,0)</f>
        <v>0</v>
      </c>
      <c r="U264" s="9">
        <f t="shared" ref="U264" si="2563">IF($Q264=TRUE,J264*$D$2,0)</f>
        <v>0</v>
      </c>
      <c r="V264" s="9">
        <f t="shared" ref="V264" si="2564">IF($Q264=TRUE,K264*$D$2,0)</f>
        <v>0</v>
      </c>
      <c r="W264" s="9">
        <f t="shared" ref="W264" si="2565">IF($Q264=TRUE,L264*$D$2,0)</f>
        <v>0</v>
      </c>
      <c r="X264" s="9">
        <f t="shared" ref="X264" si="2566">IF($Q264=TRUE,M264*$D$2,0)</f>
        <v>0</v>
      </c>
      <c r="Y264" s="9">
        <f t="shared" ref="Y264" si="2567">IF($Q264=TRUE,N264*$D$2,0)</f>
        <v>0</v>
      </c>
      <c r="Z264" s="9">
        <f t="shared" ref="Z264" si="2568">IF($Q264=TRUE,O264*$D$2,0)</f>
        <v>0</v>
      </c>
      <c r="AA264" s="9">
        <f t="shared" ref="AA264" si="2569">IF($Q264=TRUE,P264*$D$2,0)</f>
        <v>0</v>
      </c>
    </row>
    <row r="265" spans="1:27" x14ac:dyDescent="0.2">
      <c r="A265" s="77"/>
      <c r="B265" s="6" t="s">
        <v>23</v>
      </c>
      <c r="C265" s="7" t="s">
        <v>194</v>
      </c>
      <c r="D265" s="8"/>
      <c r="E265" s="8"/>
      <c r="F265" s="8" t="b">
        <v>0</v>
      </c>
      <c r="G265" s="30"/>
      <c r="H265" s="30"/>
      <c r="I265" s="30"/>
      <c r="J265" s="30">
        <v>6250</v>
      </c>
      <c r="K265" s="30"/>
      <c r="L265" s="30"/>
      <c r="M265" s="30"/>
      <c r="N265" s="30"/>
      <c r="O265" s="30"/>
      <c r="P265" s="64"/>
      <c r="Q265" s="32" t="b">
        <f t="shared" si="1948"/>
        <v>0</v>
      </c>
      <c r="R265" s="9">
        <f t="shared" ref="R265" si="2570">IF($Q265=TRUE,G265*$D$1,0)</f>
        <v>0</v>
      </c>
      <c r="S265" s="9">
        <f t="shared" ref="S265" si="2571">IF($Q265=TRUE,H265*$D$1,0)</f>
        <v>0</v>
      </c>
      <c r="T265" s="9">
        <f t="shared" ref="T265" si="2572">IF($Q265=TRUE,I265*$D$1,0)</f>
        <v>0</v>
      </c>
      <c r="U265" s="9">
        <f t="shared" ref="U265" si="2573">IF($Q265=TRUE,J265*$D$1,0)</f>
        <v>0</v>
      </c>
      <c r="V265" s="9">
        <f t="shared" ref="V265" si="2574">IF($Q265=TRUE,K265*$D$1,0)</f>
        <v>0</v>
      </c>
      <c r="W265" s="9">
        <f t="shared" ref="W265" si="2575">IF($Q265=TRUE,L265*$D$1,0)</f>
        <v>0</v>
      </c>
      <c r="X265" s="9">
        <f t="shared" ref="X265" si="2576">IF($Q265=TRUE,M265*$D$1,0)</f>
        <v>0</v>
      </c>
      <c r="Y265" s="9">
        <f t="shared" ref="Y265" si="2577">IF($Q265=TRUE,N265*$D$1,0)</f>
        <v>0</v>
      </c>
      <c r="Z265" s="9">
        <f t="shared" ref="Z265" si="2578">IF($Q265=TRUE,O265*$D$1,0)</f>
        <v>0</v>
      </c>
      <c r="AA265" s="9">
        <f t="shared" ref="AA265" si="2579">IF($Q265=TRUE,P265*$D$1,0)</f>
        <v>0</v>
      </c>
    </row>
    <row r="266" spans="1:27" x14ac:dyDescent="0.2">
      <c r="A266" s="77"/>
      <c r="B266" s="10" t="s">
        <v>28</v>
      </c>
      <c r="C266" s="11" t="s">
        <v>194</v>
      </c>
      <c r="D266" s="12"/>
      <c r="E266" s="25"/>
      <c r="F266" s="25" t="b">
        <v>0</v>
      </c>
      <c r="G266" s="30"/>
      <c r="H266" s="30"/>
      <c r="I266" s="30"/>
      <c r="J266" s="30">
        <v>6250</v>
      </c>
      <c r="K266" s="30"/>
      <c r="L266" s="30"/>
      <c r="M266" s="30"/>
      <c r="N266" s="30"/>
      <c r="O266" s="30"/>
      <c r="P266" s="64"/>
      <c r="Q266" s="33" t="b">
        <f t="shared" si="1959"/>
        <v>0</v>
      </c>
      <c r="R266" s="9">
        <f t="shared" ref="R266" si="2580">IF($Q266=TRUE,G266*$D$2,0)</f>
        <v>0</v>
      </c>
      <c r="S266" s="9">
        <f t="shared" ref="S266" si="2581">IF($Q266=TRUE,H266*$D$2,0)</f>
        <v>0</v>
      </c>
      <c r="T266" s="9">
        <f t="shared" ref="T266" si="2582">IF($Q266=TRUE,I266*$D$2,0)</f>
        <v>0</v>
      </c>
      <c r="U266" s="9">
        <f t="shared" ref="U266" si="2583">IF($Q266=TRUE,J266*$D$2,0)</f>
        <v>0</v>
      </c>
      <c r="V266" s="9">
        <f t="shared" ref="V266" si="2584">IF($Q266=TRUE,K266*$D$2,0)</f>
        <v>0</v>
      </c>
      <c r="W266" s="9">
        <f t="shared" ref="W266" si="2585">IF($Q266=TRUE,L266*$D$2,0)</f>
        <v>0</v>
      </c>
      <c r="X266" s="9">
        <f t="shared" ref="X266" si="2586">IF($Q266=TRUE,M266*$D$2,0)</f>
        <v>0</v>
      </c>
      <c r="Y266" s="9">
        <f t="shared" ref="Y266" si="2587">IF($Q266=TRUE,N266*$D$2,0)</f>
        <v>0</v>
      </c>
      <c r="Z266" s="9">
        <f t="shared" ref="Z266" si="2588">IF($Q266=TRUE,O266*$D$2,0)</f>
        <v>0</v>
      </c>
      <c r="AA266" s="9">
        <f t="shared" ref="AA266" si="2589">IF($Q266=TRUE,P266*$D$2,0)</f>
        <v>0</v>
      </c>
    </row>
    <row r="267" spans="1:27" x14ac:dyDescent="0.2">
      <c r="A267" s="77"/>
      <c r="B267" s="6" t="s">
        <v>23</v>
      </c>
      <c r="C267" s="7" t="s">
        <v>195</v>
      </c>
      <c r="D267" s="8"/>
      <c r="E267" s="8"/>
      <c r="F267" s="8" t="b">
        <v>0</v>
      </c>
      <c r="G267" s="30"/>
      <c r="H267" s="30"/>
      <c r="I267" s="30"/>
      <c r="J267" s="30">
        <v>11250</v>
      </c>
      <c r="K267" s="30"/>
      <c r="L267" s="30"/>
      <c r="M267" s="30"/>
      <c r="N267" s="30"/>
      <c r="O267" s="30"/>
      <c r="P267" s="64"/>
      <c r="Q267" s="32" t="b">
        <f t="shared" ref="Q267:Q329" si="2590">AND($D$1&gt;0,F267=TRUE)</f>
        <v>0</v>
      </c>
      <c r="R267" s="9">
        <f t="shared" ref="R267" si="2591">IF($Q267=TRUE,G267*$D$1,0)</f>
        <v>0</v>
      </c>
      <c r="S267" s="9">
        <f t="shared" ref="S267" si="2592">IF($Q267=TRUE,H267*$D$1,0)</f>
        <v>0</v>
      </c>
      <c r="T267" s="9">
        <f t="shared" ref="T267" si="2593">IF($Q267=TRUE,I267*$D$1,0)</f>
        <v>0</v>
      </c>
      <c r="U267" s="9">
        <f t="shared" ref="U267" si="2594">IF($Q267=TRUE,J267*$D$1,0)</f>
        <v>0</v>
      </c>
      <c r="V267" s="9">
        <f t="shared" ref="V267" si="2595">IF($Q267=TRUE,K267*$D$1,0)</f>
        <v>0</v>
      </c>
      <c r="W267" s="9">
        <f t="shared" ref="W267" si="2596">IF($Q267=TRUE,L267*$D$1,0)</f>
        <v>0</v>
      </c>
      <c r="X267" s="9">
        <f t="shared" ref="X267" si="2597">IF($Q267=TRUE,M267*$D$1,0)</f>
        <v>0</v>
      </c>
      <c r="Y267" s="9">
        <f t="shared" ref="Y267" si="2598">IF($Q267=TRUE,N267*$D$1,0)</f>
        <v>0</v>
      </c>
      <c r="Z267" s="9">
        <f t="shared" ref="Z267" si="2599">IF($Q267=TRUE,O267*$D$1,0)</f>
        <v>0</v>
      </c>
      <c r="AA267" s="9">
        <f t="shared" ref="AA267" si="2600">IF($Q267=TRUE,P267*$D$1,0)</f>
        <v>0</v>
      </c>
    </row>
    <row r="268" spans="1:27" x14ac:dyDescent="0.2">
      <c r="A268" s="77"/>
      <c r="B268" s="10" t="s">
        <v>28</v>
      </c>
      <c r="C268" s="11" t="s">
        <v>195</v>
      </c>
      <c r="D268" s="12"/>
      <c r="E268" s="25"/>
      <c r="F268" s="25" t="b">
        <v>0</v>
      </c>
      <c r="G268" s="30"/>
      <c r="H268" s="30"/>
      <c r="I268" s="30"/>
      <c r="J268" s="30">
        <v>11250</v>
      </c>
      <c r="K268" s="30"/>
      <c r="L268" s="30"/>
      <c r="M268" s="30"/>
      <c r="N268" s="30"/>
      <c r="O268" s="30"/>
      <c r="P268" s="64"/>
      <c r="Q268" s="33" t="b">
        <f t="shared" ref="Q268:Q330" si="2601">AND($D$2&gt;0,F268=TRUE)</f>
        <v>0</v>
      </c>
      <c r="R268" s="9">
        <f t="shared" ref="R268" si="2602">IF($Q268=TRUE,G268*$D$2,0)</f>
        <v>0</v>
      </c>
      <c r="S268" s="9">
        <f t="shared" ref="S268" si="2603">IF($Q268=TRUE,H268*$D$2,0)</f>
        <v>0</v>
      </c>
      <c r="T268" s="9">
        <f t="shared" ref="T268" si="2604">IF($Q268=TRUE,I268*$D$2,0)</f>
        <v>0</v>
      </c>
      <c r="U268" s="9">
        <f t="shared" ref="U268" si="2605">IF($Q268=TRUE,J268*$D$2,0)</f>
        <v>0</v>
      </c>
      <c r="V268" s="9">
        <f t="shared" ref="V268" si="2606">IF($Q268=TRUE,K268*$D$2,0)</f>
        <v>0</v>
      </c>
      <c r="W268" s="9">
        <f t="shared" ref="W268" si="2607">IF($Q268=TRUE,L268*$D$2,0)</f>
        <v>0</v>
      </c>
      <c r="X268" s="9">
        <f t="shared" ref="X268" si="2608">IF($Q268=TRUE,M268*$D$2,0)</f>
        <v>0</v>
      </c>
      <c r="Y268" s="9">
        <f t="shared" ref="Y268" si="2609">IF($Q268=TRUE,N268*$D$2,0)</f>
        <v>0</v>
      </c>
      <c r="Z268" s="9">
        <f t="shared" ref="Z268" si="2610">IF($Q268=TRUE,O268*$D$2,0)</f>
        <v>0</v>
      </c>
      <c r="AA268" s="9">
        <f t="shared" ref="AA268" si="2611">IF($Q268=TRUE,P268*$D$2,0)</f>
        <v>0</v>
      </c>
    </row>
    <row r="269" spans="1:27" x14ac:dyDescent="0.2">
      <c r="A269" s="77"/>
      <c r="B269" s="6" t="s">
        <v>23</v>
      </c>
      <c r="C269" s="7" t="s">
        <v>196</v>
      </c>
      <c r="D269" s="8"/>
      <c r="E269" s="8"/>
      <c r="F269" s="8" t="b">
        <v>0</v>
      </c>
      <c r="G269" s="30"/>
      <c r="H269" s="30"/>
      <c r="I269" s="30"/>
      <c r="J269" s="30"/>
      <c r="K269" s="30"/>
      <c r="L269" s="30"/>
      <c r="M269" s="30"/>
      <c r="N269" s="30"/>
      <c r="O269" s="30"/>
      <c r="P269" s="64"/>
      <c r="Q269" s="32" t="b">
        <f t="shared" si="2590"/>
        <v>0</v>
      </c>
      <c r="R269" s="9">
        <f t="shared" ref="R269" si="2612">IF($Q269=TRUE,G269*$D$1,0)</f>
        <v>0</v>
      </c>
      <c r="S269" s="9">
        <f t="shared" ref="S269" si="2613">IF($Q269=TRUE,H269*$D$1,0)</f>
        <v>0</v>
      </c>
      <c r="T269" s="9">
        <f t="shared" ref="T269" si="2614">IF($Q269=TRUE,I269*$D$1,0)</f>
        <v>0</v>
      </c>
      <c r="U269" s="9">
        <f t="shared" ref="U269" si="2615">IF($Q269=TRUE,J269*$D$1,0)</f>
        <v>0</v>
      </c>
      <c r="V269" s="9">
        <f t="shared" ref="V269" si="2616">IF($Q269=TRUE,K269*$D$1,0)</f>
        <v>0</v>
      </c>
      <c r="W269" s="9">
        <f t="shared" ref="W269" si="2617">IF($Q269=TRUE,L269*$D$1,0)</f>
        <v>0</v>
      </c>
      <c r="X269" s="9">
        <f t="shared" ref="X269" si="2618">IF($Q269=TRUE,M269*$D$1,0)</f>
        <v>0</v>
      </c>
      <c r="Y269" s="9">
        <f t="shared" ref="Y269" si="2619">IF($Q269=TRUE,N269*$D$1,0)</f>
        <v>0</v>
      </c>
      <c r="Z269" s="9">
        <f t="shared" ref="Z269" si="2620">IF($Q269=TRUE,O269*$D$1,0)</f>
        <v>0</v>
      </c>
      <c r="AA269" s="9">
        <f t="shared" ref="AA269" si="2621">IF($Q269=TRUE,P269*$D$1,0)</f>
        <v>0</v>
      </c>
    </row>
    <row r="270" spans="1:27" x14ac:dyDescent="0.2">
      <c r="A270" s="77"/>
      <c r="B270" s="10" t="s">
        <v>28</v>
      </c>
      <c r="C270" s="11" t="s">
        <v>197</v>
      </c>
      <c r="D270" s="12"/>
      <c r="E270" s="25"/>
      <c r="F270" s="25" t="b">
        <v>0</v>
      </c>
      <c r="G270" s="30"/>
      <c r="H270" s="30"/>
      <c r="I270" s="30"/>
      <c r="J270" s="30"/>
      <c r="K270" s="30">
        <v>3000</v>
      </c>
      <c r="L270" s="30"/>
      <c r="M270" s="30"/>
      <c r="N270" s="30"/>
      <c r="O270" s="30"/>
      <c r="P270" s="64"/>
      <c r="Q270" s="33" t="b">
        <f t="shared" si="2601"/>
        <v>0</v>
      </c>
      <c r="R270" s="9">
        <f t="shared" ref="R270" si="2622">IF($Q270=TRUE,G270*$D$2,0)</f>
        <v>0</v>
      </c>
      <c r="S270" s="9">
        <f t="shared" ref="S270" si="2623">IF($Q270=TRUE,H270*$D$2,0)</f>
        <v>0</v>
      </c>
      <c r="T270" s="9">
        <f t="shared" ref="T270" si="2624">IF($Q270=TRUE,I270*$D$2,0)</f>
        <v>0</v>
      </c>
      <c r="U270" s="9">
        <f t="shared" ref="U270" si="2625">IF($Q270=TRUE,J270*$D$2,0)</f>
        <v>0</v>
      </c>
      <c r="V270" s="9">
        <f t="shared" ref="V270" si="2626">IF($Q270=TRUE,K270*$D$2,0)</f>
        <v>0</v>
      </c>
      <c r="W270" s="9">
        <f t="shared" ref="W270" si="2627">IF($Q270=TRUE,L270*$D$2,0)</f>
        <v>0</v>
      </c>
      <c r="X270" s="9">
        <f t="shared" ref="X270" si="2628">IF($Q270=TRUE,M270*$D$2,0)</f>
        <v>0</v>
      </c>
      <c r="Y270" s="9">
        <f t="shared" ref="Y270" si="2629">IF($Q270=TRUE,N270*$D$2,0)</f>
        <v>0</v>
      </c>
      <c r="Z270" s="9">
        <f t="shared" ref="Z270" si="2630">IF($Q270=TRUE,O270*$D$2,0)</f>
        <v>0</v>
      </c>
      <c r="AA270" s="9">
        <f t="shared" ref="AA270" si="2631">IF($Q270=TRUE,P270*$D$2,0)</f>
        <v>0</v>
      </c>
    </row>
    <row r="271" spans="1:27" x14ac:dyDescent="0.2">
      <c r="A271" s="77"/>
      <c r="B271" s="6" t="s">
        <v>23</v>
      </c>
      <c r="C271" s="7" t="s">
        <v>198</v>
      </c>
      <c r="D271" s="8"/>
      <c r="E271" s="8"/>
      <c r="F271" s="8" t="b">
        <v>0</v>
      </c>
      <c r="G271" s="30"/>
      <c r="H271" s="30"/>
      <c r="I271" s="30"/>
      <c r="J271" s="30"/>
      <c r="K271" s="30"/>
      <c r="L271" s="30"/>
      <c r="M271" s="30"/>
      <c r="N271" s="30"/>
      <c r="O271" s="30"/>
      <c r="P271" s="64"/>
      <c r="Q271" s="32" t="b">
        <f t="shared" si="2590"/>
        <v>0</v>
      </c>
      <c r="R271" s="9">
        <f t="shared" ref="R271" si="2632">IF($Q271=TRUE,G271*$D$1,0)</f>
        <v>0</v>
      </c>
      <c r="S271" s="9">
        <f t="shared" ref="S271" si="2633">IF($Q271=TRUE,H271*$D$1,0)</f>
        <v>0</v>
      </c>
      <c r="T271" s="9">
        <f t="shared" ref="T271" si="2634">IF($Q271=TRUE,I271*$D$1,0)</f>
        <v>0</v>
      </c>
      <c r="U271" s="9">
        <f t="shared" ref="U271" si="2635">IF($Q271=TRUE,J271*$D$1,0)</f>
        <v>0</v>
      </c>
      <c r="V271" s="9">
        <f t="shared" ref="V271" si="2636">IF($Q271=TRUE,K271*$D$1,0)</f>
        <v>0</v>
      </c>
      <c r="W271" s="9">
        <f t="shared" ref="W271" si="2637">IF($Q271=TRUE,L271*$D$1,0)</f>
        <v>0</v>
      </c>
      <c r="X271" s="9">
        <f t="shared" ref="X271" si="2638">IF($Q271=TRUE,M271*$D$1,0)</f>
        <v>0</v>
      </c>
      <c r="Y271" s="9">
        <f t="shared" ref="Y271" si="2639">IF($Q271=TRUE,N271*$D$1,0)</f>
        <v>0</v>
      </c>
      <c r="Z271" s="9">
        <f t="shared" ref="Z271" si="2640">IF($Q271=TRUE,O271*$D$1,0)</f>
        <v>0</v>
      </c>
      <c r="AA271" s="9">
        <f t="shared" ref="AA271" si="2641">IF($Q271=TRUE,P271*$D$1,0)</f>
        <v>0</v>
      </c>
    </row>
    <row r="272" spans="1:27" x14ac:dyDescent="0.2">
      <c r="A272" s="77"/>
      <c r="B272" s="10" t="s">
        <v>28</v>
      </c>
      <c r="C272" s="11" t="s">
        <v>198</v>
      </c>
      <c r="D272" s="12"/>
      <c r="E272" s="25"/>
      <c r="F272" s="25" t="b">
        <v>0</v>
      </c>
      <c r="G272" s="30"/>
      <c r="H272" s="30"/>
      <c r="I272" s="30"/>
      <c r="J272" s="30"/>
      <c r="K272" s="30"/>
      <c r="L272" s="30"/>
      <c r="M272" s="30"/>
      <c r="N272" s="30"/>
      <c r="O272" s="30"/>
      <c r="P272" s="64"/>
      <c r="Q272" s="33" t="b">
        <f t="shared" si="2601"/>
        <v>0</v>
      </c>
      <c r="R272" s="9">
        <f t="shared" ref="R272" si="2642">IF($Q272=TRUE,G272*$D$2,0)</f>
        <v>0</v>
      </c>
      <c r="S272" s="9">
        <f t="shared" ref="S272" si="2643">IF($Q272=TRUE,H272*$D$2,0)</f>
        <v>0</v>
      </c>
      <c r="T272" s="9">
        <f t="shared" ref="T272" si="2644">IF($Q272=TRUE,I272*$D$2,0)</f>
        <v>0</v>
      </c>
      <c r="U272" s="9">
        <f t="shared" ref="U272" si="2645">IF($Q272=TRUE,J272*$D$2,0)</f>
        <v>0</v>
      </c>
      <c r="V272" s="9">
        <f t="shared" ref="V272" si="2646">IF($Q272=TRUE,K272*$D$2,0)</f>
        <v>0</v>
      </c>
      <c r="W272" s="9">
        <f t="shared" ref="W272" si="2647">IF($Q272=TRUE,L272*$D$2,0)</f>
        <v>0</v>
      </c>
      <c r="X272" s="9">
        <f t="shared" ref="X272" si="2648">IF($Q272=TRUE,M272*$D$2,0)</f>
        <v>0</v>
      </c>
      <c r="Y272" s="9">
        <f t="shared" ref="Y272" si="2649">IF($Q272=TRUE,N272*$D$2,0)</f>
        <v>0</v>
      </c>
      <c r="Z272" s="9">
        <f t="shared" ref="Z272" si="2650">IF($Q272=TRUE,O272*$D$2,0)</f>
        <v>0</v>
      </c>
      <c r="AA272" s="9">
        <f t="shared" ref="AA272" si="2651">IF($Q272=TRUE,P272*$D$2,0)</f>
        <v>0</v>
      </c>
    </row>
    <row r="273" spans="1:27" x14ac:dyDescent="0.2">
      <c r="A273" s="77"/>
      <c r="B273" s="6" t="s">
        <v>23</v>
      </c>
      <c r="C273" s="7" t="s">
        <v>199</v>
      </c>
      <c r="D273" s="8"/>
      <c r="E273" s="8"/>
      <c r="F273" s="8" t="b">
        <v>0</v>
      </c>
      <c r="G273" s="30"/>
      <c r="H273" s="30"/>
      <c r="I273" s="30"/>
      <c r="J273" s="30"/>
      <c r="K273" s="30"/>
      <c r="L273" s="30"/>
      <c r="M273" s="30"/>
      <c r="N273" s="30"/>
      <c r="O273" s="30"/>
      <c r="P273" s="64"/>
      <c r="Q273" s="32" t="b">
        <f t="shared" si="2590"/>
        <v>0</v>
      </c>
      <c r="R273" s="9">
        <f t="shared" ref="R273" si="2652">IF($Q273=TRUE,G273*$D$1,0)</f>
        <v>0</v>
      </c>
      <c r="S273" s="9">
        <f t="shared" ref="S273" si="2653">IF($Q273=TRUE,H273*$D$1,0)</f>
        <v>0</v>
      </c>
      <c r="T273" s="9">
        <f t="shared" ref="T273" si="2654">IF($Q273=TRUE,I273*$D$1,0)</f>
        <v>0</v>
      </c>
      <c r="U273" s="9">
        <f t="shared" ref="U273" si="2655">IF($Q273=TRUE,J273*$D$1,0)</f>
        <v>0</v>
      </c>
      <c r="V273" s="9">
        <f t="shared" ref="V273" si="2656">IF($Q273=TRUE,K273*$D$1,0)</f>
        <v>0</v>
      </c>
      <c r="W273" s="9">
        <f t="shared" ref="W273" si="2657">IF($Q273=TRUE,L273*$D$1,0)</f>
        <v>0</v>
      </c>
      <c r="X273" s="9">
        <f t="shared" ref="X273" si="2658">IF($Q273=TRUE,M273*$D$1,0)</f>
        <v>0</v>
      </c>
      <c r="Y273" s="9">
        <f t="shared" ref="Y273" si="2659">IF($Q273=TRUE,N273*$D$1,0)</f>
        <v>0</v>
      </c>
      <c r="Z273" s="9">
        <f t="shared" ref="Z273" si="2660">IF($Q273=TRUE,O273*$D$1,0)</f>
        <v>0</v>
      </c>
      <c r="AA273" s="9">
        <f t="shared" ref="AA273" si="2661">IF($Q273=TRUE,P273*$D$1,0)</f>
        <v>0</v>
      </c>
    </row>
    <row r="274" spans="1:27" x14ac:dyDescent="0.2">
      <c r="A274" s="77"/>
      <c r="B274" s="10" t="s">
        <v>28</v>
      </c>
      <c r="C274" s="11" t="s">
        <v>199</v>
      </c>
      <c r="D274" s="12"/>
      <c r="E274" s="25"/>
      <c r="F274" s="25" t="b">
        <v>0</v>
      </c>
      <c r="G274" s="30"/>
      <c r="H274" s="30"/>
      <c r="I274" s="30"/>
      <c r="J274" s="30"/>
      <c r="K274" s="30"/>
      <c r="L274" s="30"/>
      <c r="M274" s="30"/>
      <c r="N274" s="30"/>
      <c r="O274" s="30"/>
      <c r="P274" s="64"/>
      <c r="Q274" s="33" t="b">
        <f t="shared" si="2601"/>
        <v>0</v>
      </c>
      <c r="R274" s="9">
        <f t="shared" ref="R274" si="2662">IF($Q274=TRUE,G274*$D$2,0)</f>
        <v>0</v>
      </c>
      <c r="S274" s="9">
        <f t="shared" ref="S274" si="2663">IF($Q274=TRUE,H274*$D$2,0)</f>
        <v>0</v>
      </c>
      <c r="T274" s="9">
        <f t="shared" ref="T274" si="2664">IF($Q274=TRUE,I274*$D$2,0)</f>
        <v>0</v>
      </c>
      <c r="U274" s="9">
        <f t="shared" ref="U274" si="2665">IF($Q274=TRUE,J274*$D$2,0)</f>
        <v>0</v>
      </c>
      <c r="V274" s="9">
        <f t="shared" ref="V274" si="2666">IF($Q274=TRUE,K274*$D$2,0)</f>
        <v>0</v>
      </c>
      <c r="W274" s="9">
        <f t="shared" ref="W274" si="2667">IF($Q274=TRUE,L274*$D$2,0)</f>
        <v>0</v>
      </c>
      <c r="X274" s="9">
        <f t="shared" ref="X274" si="2668">IF($Q274=TRUE,M274*$D$2,0)</f>
        <v>0</v>
      </c>
      <c r="Y274" s="9">
        <f t="shared" ref="Y274" si="2669">IF($Q274=TRUE,N274*$D$2,0)</f>
        <v>0</v>
      </c>
      <c r="Z274" s="9">
        <f t="shared" ref="Z274" si="2670">IF($Q274=TRUE,O274*$D$2,0)</f>
        <v>0</v>
      </c>
      <c r="AA274" s="9">
        <f t="shared" ref="AA274" si="2671">IF($Q274=TRUE,P274*$D$2,0)</f>
        <v>0</v>
      </c>
    </row>
    <row r="275" spans="1:27" x14ac:dyDescent="0.2">
      <c r="A275" s="77"/>
      <c r="B275" s="6" t="s">
        <v>23</v>
      </c>
      <c r="C275" s="7" t="s">
        <v>200</v>
      </c>
      <c r="D275" s="8"/>
      <c r="E275" s="8"/>
      <c r="F275" s="8" t="b">
        <v>0</v>
      </c>
      <c r="G275" s="30"/>
      <c r="H275" s="30"/>
      <c r="I275" s="30"/>
      <c r="J275" s="30"/>
      <c r="K275" s="30">
        <v>156</v>
      </c>
      <c r="L275" s="30"/>
      <c r="M275" s="30"/>
      <c r="N275" s="30"/>
      <c r="O275" s="30"/>
      <c r="P275" s="64"/>
      <c r="Q275" s="32" t="b">
        <f t="shared" si="2590"/>
        <v>0</v>
      </c>
      <c r="R275" s="9">
        <f t="shared" ref="R275" si="2672">IF($Q275=TRUE,G275*$D$1,0)</f>
        <v>0</v>
      </c>
      <c r="S275" s="9">
        <f t="shared" ref="S275" si="2673">IF($Q275=TRUE,H275*$D$1,0)</f>
        <v>0</v>
      </c>
      <c r="T275" s="9">
        <f t="shared" ref="T275" si="2674">IF($Q275=TRUE,I275*$D$1,0)</f>
        <v>0</v>
      </c>
      <c r="U275" s="9">
        <f t="shared" ref="U275" si="2675">IF($Q275=TRUE,J275*$D$1,0)</f>
        <v>0</v>
      </c>
      <c r="V275" s="9">
        <f t="shared" ref="V275" si="2676">IF($Q275=TRUE,K275*$D$1,0)</f>
        <v>0</v>
      </c>
      <c r="W275" s="9">
        <f t="shared" ref="W275" si="2677">IF($Q275=TRUE,L275*$D$1,0)</f>
        <v>0</v>
      </c>
      <c r="X275" s="9">
        <f t="shared" ref="X275" si="2678">IF($Q275=TRUE,M275*$D$1,0)</f>
        <v>0</v>
      </c>
      <c r="Y275" s="9">
        <f t="shared" ref="Y275" si="2679">IF($Q275=TRUE,N275*$D$1,0)</f>
        <v>0</v>
      </c>
      <c r="Z275" s="9">
        <f t="shared" ref="Z275" si="2680">IF($Q275=TRUE,O275*$D$1,0)</f>
        <v>0</v>
      </c>
      <c r="AA275" s="9">
        <f t="shared" ref="AA275" si="2681">IF($Q275=TRUE,P275*$D$1,0)</f>
        <v>0</v>
      </c>
    </row>
    <row r="276" spans="1:27" x14ac:dyDescent="0.2">
      <c r="A276" s="77"/>
      <c r="B276" s="10" t="s">
        <v>28</v>
      </c>
      <c r="C276" s="11" t="s">
        <v>200</v>
      </c>
      <c r="D276" s="12"/>
      <c r="E276" s="25"/>
      <c r="F276" s="25" t="b">
        <v>0</v>
      </c>
      <c r="G276" s="30"/>
      <c r="H276" s="30"/>
      <c r="I276" s="30"/>
      <c r="J276" s="30"/>
      <c r="K276" s="30">
        <v>156</v>
      </c>
      <c r="L276" s="30"/>
      <c r="M276" s="30"/>
      <c r="N276" s="30"/>
      <c r="O276" s="30"/>
      <c r="P276" s="64"/>
      <c r="Q276" s="33" t="b">
        <f t="shared" si="2601"/>
        <v>0</v>
      </c>
      <c r="R276" s="9">
        <f t="shared" ref="R276" si="2682">IF($Q276=TRUE,G276*$D$2,0)</f>
        <v>0</v>
      </c>
      <c r="S276" s="9">
        <f t="shared" ref="S276" si="2683">IF($Q276=TRUE,H276*$D$2,0)</f>
        <v>0</v>
      </c>
      <c r="T276" s="9">
        <f t="shared" ref="T276" si="2684">IF($Q276=TRUE,I276*$D$2,0)</f>
        <v>0</v>
      </c>
      <c r="U276" s="9">
        <f t="shared" ref="U276" si="2685">IF($Q276=TRUE,J276*$D$2,0)</f>
        <v>0</v>
      </c>
      <c r="V276" s="9">
        <f t="shared" ref="V276" si="2686">IF($Q276=TRUE,K276*$D$2,0)</f>
        <v>0</v>
      </c>
      <c r="W276" s="9">
        <f t="shared" ref="W276" si="2687">IF($Q276=TRUE,L276*$D$2,0)</f>
        <v>0</v>
      </c>
      <c r="X276" s="9">
        <f t="shared" ref="X276" si="2688">IF($Q276=TRUE,M276*$D$2,0)</f>
        <v>0</v>
      </c>
      <c r="Y276" s="9">
        <f t="shared" ref="Y276" si="2689">IF($Q276=TRUE,N276*$D$2,0)</f>
        <v>0</v>
      </c>
      <c r="Z276" s="9">
        <f t="shared" ref="Z276" si="2690">IF($Q276=TRUE,O276*$D$2,0)</f>
        <v>0</v>
      </c>
      <c r="AA276" s="9">
        <f t="shared" ref="AA276" si="2691">IF($Q276=TRUE,P276*$D$2,0)</f>
        <v>0</v>
      </c>
    </row>
    <row r="277" spans="1:27" x14ac:dyDescent="0.2">
      <c r="A277" s="77"/>
      <c r="B277" s="6" t="s">
        <v>23</v>
      </c>
      <c r="C277" s="7" t="s">
        <v>201</v>
      </c>
      <c r="D277" s="8"/>
      <c r="E277" s="8"/>
      <c r="F277" s="8" t="b">
        <v>0</v>
      </c>
      <c r="G277" s="30"/>
      <c r="H277" s="30"/>
      <c r="I277" s="30"/>
      <c r="J277" s="30"/>
      <c r="K277" s="30"/>
      <c r="L277" s="30">
        <v>120</v>
      </c>
      <c r="M277" s="30"/>
      <c r="N277" s="30"/>
      <c r="O277" s="30"/>
      <c r="P277" s="64"/>
      <c r="Q277" s="32" t="b">
        <f t="shared" si="2590"/>
        <v>0</v>
      </c>
      <c r="R277" s="9">
        <f t="shared" ref="R277" si="2692">IF($Q277=TRUE,G277*$D$1,0)</f>
        <v>0</v>
      </c>
      <c r="S277" s="9">
        <f t="shared" ref="S277" si="2693">IF($Q277=TRUE,H277*$D$1,0)</f>
        <v>0</v>
      </c>
      <c r="T277" s="9">
        <f t="shared" ref="T277" si="2694">IF($Q277=TRUE,I277*$D$1,0)</f>
        <v>0</v>
      </c>
      <c r="U277" s="9">
        <f t="shared" ref="U277" si="2695">IF($Q277=TRUE,J277*$D$1,0)</f>
        <v>0</v>
      </c>
      <c r="V277" s="9">
        <f t="shared" ref="V277" si="2696">IF($Q277=TRUE,K277*$D$1,0)</f>
        <v>0</v>
      </c>
      <c r="W277" s="9">
        <f t="shared" ref="W277" si="2697">IF($Q277=TRUE,L277*$D$1,0)</f>
        <v>0</v>
      </c>
      <c r="X277" s="9">
        <f t="shared" ref="X277" si="2698">IF($Q277=TRUE,M277*$D$1,0)</f>
        <v>0</v>
      </c>
      <c r="Y277" s="9">
        <f t="shared" ref="Y277" si="2699">IF($Q277=TRUE,N277*$D$1,0)</f>
        <v>0</v>
      </c>
      <c r="Z277" s="9">
        <f t="shared" ref="Z277" si="2700">IF($Q277=TRUE,O277*$D$1,0)</f>
        <v>0</v>
      </c>
      <c r="AA277" s="9">
        <f t="shared" ref="AA277" si="2701">IF($Q277=TRUE,P277*$D$1,0)</f>
        <v>0</v>
      </c>
    </row>
    <row r="278" spans="1:27" x14ac:dyDescent="0.2">
      <c r="A278" s="77"/>
      <c r="B278" s="10" t="s">
        <v>28</v>
      </c>
      <c r="C278" s="11" t="s">
        <v>201</v>
      </c>
      <c r="D278" s="12"/>
      <c r="E278" s="25"/>
      <c r="F278" s="25" t="b">
        <v>0</v>
      </c>
      <c r="G278" s="30"/>
      <c r="H278" s="30"/>
      <c r="I278" s="30"/>
      <c r="J278" s="30"/>
      <c r="K278" s="30"/>
      <c r="L278" s="30">
        <v>150</v>
      </c>
      <c r="M278" s="30"/>
      <c r="N278" s="30"/>
      <c r="O278" s="30"/>
      <c r="P278" s="64"/>
      <c r="Q278" s="33" t="b">
        <f t="shared" si="2601"/>
        <v>0</v>
      </c>
      <c r="R278" s="9">
        <f t="shared" ref="R278" si="2702">IF($Q278=TRUE,G278*$D$2,0)</f>
        <v>0</v>
      </c>
      <c r="S278" s="9">
        <f t="shared" ref="S278" si="2703">IF($Q278=TRUE,H278*$D$2,0)</f>
        <v>0</v>
      </c>
      <c r="T278" s="9">
        <f t="shared" ref="T278" si="2704">IF($Q278=TRUE,I278*$D$2,0)</f>
        <v>0</v>
      </c>
      <c r="U278" s="9">
        <f t="shared" ref="U278" si="2705">IF($Q278=TRUE,J278*$D$2,0)</f>
        <v>0</v>
      </c>
      <c r="V278" s="9">
        <f t="shared" ref="V278" si="2706">IF($Q278=TRUE,K278*$D$2,0)</f>
        <v>0</v>
      </c>
      <c r="W278" s="9">
        <f t="shared" ref="W278" si="2707">IF($Q278=TRUE,L278*$D$2,0)</f>
        <v>0</v>
      </c>
      <c r="X278" s="9">
        <f t="shared" ref="X278" si="2708">IF($Q278=TRUE,M278*$D$2,0)</f>
        <v>0</v>
      </c>
      <c r="Y278" s="9">
        <f t="shared" ref="Y278" si="2709">IF($Q278=TRUE,N278*$D$2,0)</f>
        <v>0</v>
      </c>
      <c r="Z278" s="9">
        <f t="shared" ref="Z278" si="2710">IF($Q278=TRUE,O278*$D$2,0)</f>
        <v>0</v>
      </c>
      <c r="AA278" s="9">
        <f t="shared" ref="AA278" si="2711">IF($Q278=TRUE,P278*$D$2,0)</f>
        <v>0</v>
      </c>
    </row>
    <row r="279" spans="1:27" x14ac:dyDescent="0.2">
      <c r="A279" s="77"/>
      <c r="B279" s="6" t="s">
        <v>23</v>
      </c>
      <c r="C279" s="7" t="s">
        <v>202</v>
      </c>
      <c r="D279" s="8"/>
      <c r="E279" s="8"/>
      <c r="F279" s="8" t="b">
        <v>0</v>
      </c>
      <c r="G279" s="30"/>
      <c r="H279" s="30"/>
      <c r="I279" s="30"/>
      <c r="J279" s="30"/>
      <c r="K279" s="30"/>
      <c r="L279" s="30">
        <v>120</v>
      </c>
      <c r="M279" s="30"/>
      <c r="N279" s="30"/>
      <c r="O279" s="30"/>
      <c r="P279" s="64"/>
      <c r="Q279" s="32" t="b">
        <f t="shared" si="2590"/>
        <v>0</v>
      </c>
      <c r="R279" s="9">
        <f t="shared" ref="R279" si="2712">IF($Q279=TRUE,G279*$D$1,0)</f>
        <v>0</v>
      </c>
      <c r="S279" s="9">
        <f t="shared" ref="S279" si="2713">IF($Q279=TRUE,H279*$D$1,0)</f>
        <v>0</v>
      </c>
      <c r="T279" s="9">
        <f t="shared" ref="T279" si="2714">IF($Q279=TRUE,I279*$D$1,0)</f>
        <v>0</v>
      </c>
      <c r="U279" s="9">
        <f t="shared" ref="U279" si="2715">IF($Q279=TRUE,J279*$D$1,0)</f>
        <v>0</v>
      </c>
      <c r="V279" s="9">
        <f t="shared" ref="V279" si="2716">IF($Q279=TRUE,K279*$D$1,0)</f>
        <v>0</v>
      </c>
      <c r="W279" s="9">
        <f t="shared" ref="W279" si="2717">IF($Q279=TRUE,L279*$D$1,0)</f>
        <v>0</v>
      </c>
      <c r="X279" s="9">
        <f t="shared" ref="X279" si="2718">IF($Q279=TRUE,M279*$D$1,0)</f>
        <v>0</v>
      </c>
      <c r="Y279" s="9">
        <f t="shared" ref="Y279" si="2719">IF($Q279=TRUE,N279*$D$1,0)</f>
        <v>0</v>
      </c>
      <c r="Z279" s="9">
        <f t="shared" ref="Z279" si="2720">IF($Q279=TRUE,O279*$D$1,0)</f>
        <v>0</v>
      </c>
      <c r="AA279" s="9">
        <f t="shared" ref="AA279" si="2721">IF($Q279=TRUE,P279*$D$1,0)</f>
        <v>0</v>
      </c>
    </row>
    <row r="280" spans="1:27" x14ac:dyDescent="0.2">
      <c r="A280" s="77"/>
      <c r="B280" s="10" t="s">
        <v>28</v>
      </c>
      <c r="C280" s="11" t="s">
        <v>202</v>
      </c>
      <c r="D280" s="12"/>
      <c r="E280" s="25"/>
      <c r="F280" s="25" t="b">
        <v>0</v>
      </c>
      <c r="G280" s="30"/>
      <c r="H280" s="30"/>
      <c r="I280" s="30"/>
      <c r="J280" s="30"/>
      <c r="K280" s="30"/>
      <c r="L280" s="30">
        <v>150</v>
      </c>
      <c r="M280" s="30"/>
      <c r="N280" s="30"/>
      <c r="O280" s="30"/>
      <c r="P280" s="64"/>
      <c r="Q280" s="33" t="b">
        <f t="shared" si="2601"/>
        <v>0</v>
      </c>
      <c r="R280" s="9">
        <f t="shared" ref="R280" si="2722">IF($Q280=TRUE,G280*$D$2,0)</f>
        <v>0</v>
      </c>
      <c r="S280" s="9">
        <f t="shared" ref="S280" si="2723">IF($Q280=TRUE,H280*$D$2,0)</f>
        <v>0</v>
      </c>
      <c r="T280" s="9">
        <f t="shared" ref="T280" si="2724">IF($Q280=TRUE,I280*$D$2,0)</f>
        <v>0</v>
      </c>
      <c r="U280" s="9">
        <f t="shared" ref="U280" si="2725">IF($Q280=TRUE,J280*$D$2,0)</f>
        <v>0</v>
      </c>
      <c r="V280" s="9">
        <f t="shared" ref="V280" si="2726">IF($Q280=TRUE,K280*$D$2,0)</f>
        <v>0</v>
      </c>
      <c r="W280" s="9">
        <f t="shared" ref="W280" si="2727">IF($Q280=TRUE,L280*$D$2,0)</f>
        <v>0</v>
      </c>
      <c r="X280" s="9">
        <f t="shared" ref="X280" si="2728">IF($Q280=TRUE,M280*$D$2,0)</f>
        <v>0</v>
      </c>
      <c r="Y280" s="9">
        <f t="shared" ref="Y280" si="2729">IF($Q280=TRUE,N280*$D$2,0)</f>
        <v>0</v>
      </c>
      <c r="Z280" s="9">
        <f t="shared" ref="Z280" si="2730">IF($Q280=TRUE,O280*$D$2,0)</f>
        <v>0</v>
      </c>
      <c r="AA280" s="9">
        <f t="shared" ref="AA280" si="2731">IF($Q280=TRUE,P280*$D$2,0)</f>
        <v>0</v>
      </c>
    </row>
    <row r="281" spans="1:27" x14ac:dyDescent="0.2">
      <c r="A281" s="77"/>
      <c r="B281" s="6" t="s">
        <v>23</v>
      </c>
      <c r="C281" s="7" t="s">
        <v>203</v>
      </c>
      <c r="D281" s="8"/>
      <c r="E281" s="8"/>
      <c r="F281" s="8" t="b">
        <v>0</v>
      </c>
      <c r="G281" s="30"/>
      <c r="H281" s="30"/>
      <c r="I281" s="30"/>
      <c r="J281" s="30"/>
      <c r="K281" s="30"/>
      <c r="L281" s="30">
        <v>160</v>
      </c>
      <c r="M281" s="30"/>
      <c r="N281" s="30"/>
      <c r="O281" s="30"/>
      <c r="P281" s="64"/>
      <c r="Q281" s="32" t="b">
        <f t="shared" si="2590"/>
        <v>0</v>
      </c>
      <c r="R281" s="9">
        <f t="shared" ref="R281" si="2732">IF($Q281=TRUE,G281*$D$1,0)</f>
        <v>0</v>
      </c>
      <c r="S281" s="9">
        <f t="shared" ref="S281" si="2733">IF($Q281=TRUE,H281*$D$1,0)</f>
        <v>0</v>
      </c>
      <c r="T281" s="9">
        <f t="shared" ref="T281" si="2734">IF($Q281=TRUE,I281*$D$1,0)</f>
        <v>0</v>
      </c>
      <c r="U281" s="9">
        <f t="shared" ref="U281" si="2735">IF($Q281=TRUE,J281*$D$1,0)</f>
        <v>0</v>
      </c>
      <c r="V281" s="9">
        <f t="shared" ref="V281" si="2736">IF($Q281=TRUE,K281*$D$1,0)</f>
        <v>0</v>
      </c>
      <c r="W281" s="9">
        <f t="shared" ref="W281" si="2737">IF($Q281=TRUE,L281*$D$1,0)</f>
        <v>0</v>
      </c>
      <c r="X281" s="9">
        <f t="shared" ref="X281" si="2738">IF($Q281=TRUE,M281*$D$1,0)</f>
        <v>0</v>
      </c>
      <c r="Y281" s="9">
        <f t="shared" ref="Y281" si="2739">IF($Q281=TRUE,N281*$D$1,0)</f>
        <v>0</v>
      </c>
      <c r="Z281" s="9">
        <f t="shared" ref="Z281" si="2740">IF($Q281=TRUE,O281*$D$1,0)</f>
        <v>0</v>
      </c>
      <c r="AA281" s="9">
        <f t="shared" ref="AA281" si="2741">IF($Q281=TRUE,P281*$D$1,0)</f>
        <v>0</v>
      </c>
    </row>
    <row r="282" spans="1:27" x14ac:dyDescent="0.2">
      <c r="A282" s="77"/>
      <c r="B282" s="10" t="s">
        <v>28</v>
      </c>
      <c r="C282" s="11" t="s">
        <v>203</v>
      </c>
      <c r="D282" s="12"/>
      <c r="E282" s="25"/>
      <c r="F282" s="25" t="b">
        <v>0</v>
      </c>
      <c r="G282" s="30"/>
      <c r="H282" s="30"/>
      <c r="I282" s="30"/>
      <c r="J282" s="30"/>
      <c r="K282" s="30"/>
      <c r="L282" s="30">
        <v>180</v>
      </c>
      <c r="M282" s="30"/>
      <c r="N282" s="30"/>
      <c r="O282" s="30"/>
      <c r="P282" s="64"/>
      <c r="Q282" s="33" t="b">
        <f t="shared" si="2601"/>
        <v>0</v>
      </c>
      <c r="R282" s="9">
        <f t="shared" ref="R282" si="2742">IF($Q282=TRUE,G282*$D$2,0)</f>
        <v>0</v>
      </c>
      <c r="S282" s="9">
        <f t="shared" ref="S282" si="2743">IF($Q282=TRUE,H282*$D$2,0)</f>
        <v>0</v>
      </c>
      <c r="T282" s="9">
        <f t="shared" ref="T282" si="2744">IF($Q282=TRUE,I282*$D$2,0)</f>
        <v>0</v>
      </c>
      <c r="U282" s="9">
        <f t="shared" ref="U282" si="2745">IF($Q282=TRUE,J282*$D$2,0)</f>
        <v>0</v>
      </c>
      <c r="V282" s="9">
        <f t="shared" ref="V282" si="2746">IF($Q282=TRUE,K282*$D$2,0)</f>
        <v>0</v>
      </c>
      <c r="W282" s="9">
        <f t="shared" ref="W282" si="2747">IF($Q282=TRUE,L282*$D$2,0)</f>
        <v>0</v>
      </c>
      <c r="X282" s="9">
        <f t="shared" ref="X282" si="2748">IF($Q282=TRUE,M282*$D$2,0)</f>
        <v>0</v>
      </c>
      <c r="Y282" s="9">
        <f t="shared" ref="Y282" si="2749">IF($Q282=TRUE,N282*$D$2,0)</f>
        <v>0</v>
      </c>
      <c r="Z282" s="9">
        <f t="shared" ref="Z282" si="2750">IF($Q282=TRUE,O282*$D$2,0)</f>
        <v>0</v>
      </c>
      <c r="AA282" s="9">
        <f t="shared" ref="AA282" si="2751">IF($Q282=TRUE,P282*$D$2,0)</f>
        <v>0</v>
      </c>
    </row>
    <row r="283" spans="1:27" ht="25.5" x14ac:dyDescent="0.2">
      <c r="A283" s="77"/>
      <c r="B283" s="6" t="s">
        <v>23</v>
      </c>
      <c r="C283" s="7" t="s">
        <v>204</v>
      </c>
      <c r="D283" s="8"/>
      <c r="E283" s="8"/>
      <c r="F283" s="8" t="b">
        <v>0</v>
      </c>
      <c r="G283" s="30"/>
      <c r="H283" s="30"/>
      <c r="I283" s="30"/>
      <c r="J283" s="30"/>
      <c r="K283" s="30"/>
      <c r="L283" s="30">
        <v>40</v>
      </c>
      <c r="M283" s="30"/>
      <c r="N283" s="30"/>
      <c r="O283" s="30"/>
      <c r="P283" s="64"/>
      <c r="Q283" s="32" t="b">
        <f t="shared" si="2590"/>
        <v>0</v>
      </c>
      <c r="R283" s="9">
        <f t="shared" ref="R283" si="2752">IF($Q283=TRUE,G283*$D$1,0)</f>
        <v>0</v>
      </c>
      <c r="S283" s="9">
        <f t="shared" ref="S283" si="2753">IF($Q283=TRUE,H283*$D$1,0)</f>
        <v>0</v>
      </c>
      <c r="T283" s="9">
        <f t="shared" ref="T283" si="2754">IF($Q283=TRUE,I283*$D$1,0)</f>
        <v>0</v>
      </c>
      <c r="U283" s="9">
        <f t="shared" ref="U283" si="2755">IF($Q283=TRUE,J283*$D$1,0)</f>
        <v>0</v>
      </c>
      <c r="V283" s="9">
        <f t="shared" ref="V283" si="2756">IF($Q283=TRUE,K283*$D$1,0)</f>
        <v>0</v>
      </c>
      <c r="W283" s="9">
        <f t="shared" ref="W283" si="2757">IF($Q283=TRUE,L283*$D$1,0)</f>
        <v>0</v>
      </c>
      <c r="X283" s="9">
        <f t="shared" ref="X283" si="2758">IF($Q283=TRUE,M283*$D$1,0)</f>
        <v>0</v>
      </c>
      <c r="Y283" s="9">
        <f t="shared" ref="Y283" si="2759">IF($Q283=TRUE,N283*$D$1,0)</f>
        <v>0</v>
      </c>
      <c r="Z283" s="9">
        <f t="shared" ref="Z283" si="2760">IF($Q283=TRUE,O283*$D$1,0)</f>
        <v>0</v>
      </c>
      <c r="AA283" s="9">
        <f t="shared" ref="AA283" si="2761">IF($Q283=TRUE,P283*$D$1,0)</f>
        <v>0</v>
      </c>
    </row>
    <row r="284" spans="1:27" ht="25.5" x14ac:dyDescent="0.2">
      <c r="A284" s="77"/>
      <c r="B284" s="10" t="s">
        <v>28</v>
      </c>
      <c r="C284" s="11" t="s">
        <v>204</v>
      </c>
      <c r="D284" s="12"/>
      <c r="E284" s="25"/>
      <c r="F284" s="25" t="b">
        <v>0</v>
      </c>
      <c r="G284" s="30"/>
      <c r="H284" s="30"/>
      <c r="I284" s="30"/>
      <c r="J284" s="30"/>
      <c r="K284" s="30"/>
      <c r="L284" s="30">
        <v>60</v>
      </c>
      <c r="M284" s="30"/>
      <c r="N284" s="30"/>
      <c r="O284" s="30"/>
      <c r="P284" s="64"/>
      <c r="Q284" s="33" t="b">
        <f t="shared" si="2601"/>
        <v>0</v>
      </c>
      <c r="R284" s="9">
        <f t="shared" ref="R284" si="2762">IF($Q284=TRUE,G284*$D$2,0)</f>
        <v>0</v>
      </c>
      <c r="S284" s="9">
        <f t="shared" ref="S284" si="2763">IF($Q284=TRUE,H284*$D$2,0)</f>
        <v>0</v>
      </c>
      <c r="T284" s="9">
        <f t="shared" ref="T284" si="2764">IF($Q284=TRUE,I284*$D$2,0)</f>
        <v>0</v>
      </c>
      <c r="U284" s="9">
        <f t="shared" ref="U284" si="2765">IF($Q284=TRUE,J284*$D$2,0)</f>
        <v>0</v>
      </c>
      <c r="V284" s="9">
        <f t="shared" ref="V284" si="2766">IF($Q284=TRUE,K284*$D$2,0)</f>
        <v>0</v>
      </c>
      <c r="W284" s="9">
        <f t="shared" ref="W284" si="2767">IF($Q284=TRUE,L284*$D$2,0)</f>
        <v>0</v>
      </c>
      <c r="X284" s="9">
        <f t="shared" ref="X284" si="2768">IF($Q284=TRUE,M284*$D$2,0)</f>
        <v>0</v>
      </c>
      <c r="Y284" s="9">
        <f t="shared" ref="Y284" si="2769">IF($Q284=TRUE,N284*$D$2,0)</f>
        <v>0</v>
      </c>
      <c r="Z284" s="9">
        <f t="shared" ref="Z284" si="2770">IF($Q284=TRUE,O284*$D$2,0)</f>
        <v>0</v>
      </c>
      <c r="AA284" s="9">
        <f t="shared" ref="AA284" si="2771">IF($Q284=TRUE,P284*$D$2,0)</f>
        <v>0</v>
      </c>
    </row>
    <row r="285" spans="1:27" x14ac:dyDescent="0.2">
      <c r="A285" s="77"/>
      <c r="B285" s="6" t="s">
        <v>23</v>
      </c>
      <c r="C285" s="7" t="s">
        <v>205</v>
      </c>
      <c r="D285" s="8"/>
      <c r="E285" s="8"/>
      <c r="F285" s="8" t="b">
        <v>0</v>
      </c>
      <c r="G285" s="30"/>
      <c r="H285" s="30">
        <v>267</v>
      </c>
      <c r="I285" s="30">
        <v>267</v>
      </c>
      <c r="J285" s="30"/>
      <c r="K285" s="30"/>
      <c r="L285" s="30"/>
      <c r="M285" s="30"/>
      <c r="N285" s="30"/>
      <c r="O285" s="30"/>
      <c r="P285" s="64"/>
      <c r="Q285" s="32" t="b">
        <f t="shared" si="2590"/>
        <v>0</v>
      </c>
      <c r="R285" s="9">
        <f t="shared" ref="R285" si="2772">IF($Q285=TRUE,G285*$D$1,0)</f>
        <v>0</v>
      </c>
      <c r="S285" s="9">
        <f t="shared" ref="S285" si="2773">IF($Q285=TRUE,H285*$D$1,0)</f>
        <v>0</v>
      </c>
      <c r="T285" s="9">
        <f t="shared" ref="T285" si="2774">IF($Q285=TRUE,I285*$D$1,0)</f>
        <v>0</v>
      </c>
      <c r="U285" s="9">
        <f t="shared" ref="U285" si="2775">IF($Q285=TRUE,J285*$D$1,0)</f>
        <v>0</v>
      </c>
      <c r="V285" s="9">
        <f t="shared" ref="V285" si="2776">IF($Q285=TRUE,K285*$D$1,0)</f>
        <v>0</v>
      </c>
      <c r="W285" s="9">
        <f t="shared" ref="W285" si="2777">IF($Q285=TRUE,L285*$D$1,0)</f>
        <v>0</v>
      </c>
      <c r="X285" s="9">
        <f t="shared" ref="X285" si="2778">IF($Q285=TRUE,M285*$D$1,0)</f>
        <v>0</v>
      </c>
      <c r="Y285" s="9">
        <f t="shared" ref="Y285" si="2779">IF($Q285=TRUE,N285*$D$1,0)</f>
        <v>0</v>
      </c>
      <c r="Z285" s="9">
        <f t="shared" ref="Z285" si="2780">IF($Q285=TRUE,O285*$D$1,0)</f>
        <v>0</v>
      </c>
      <c r="AA285" s="9">
        <f t="shared" ref="AA285" si="2781">IF($Q285=TRUE,P285*$D$1,0)</f>
        <v>0</v>
      </c>
    </row>
    <row r="286" spans="1:27" x14ac:dyDescent="0.2">
      <c r="A286" s="77"/>
      <c r="B286" s="10" t="s">
        <v>28</v>
      </c>
      <c r="C286" s="11" t="s">
        <v>205</v>
      </c>
      <c r="D286" s="12"/>
      <c r="E286" s="25"/>
      <c r="F286" s="25" t="b">
        <v>0</v>
      </c>
      <c r="G286" s="30"/>
      <c r="H286" s="30">
        <v>445</v>
      </c>
      <c r="I286" s="30">
        <v>445</v>
      </c>
      <c r="J286" s="30"/>
      <c r="K286" s="30"/>
      <c r="L286" s="30"/>
      <c r="M286" s="30"/>
      <c r="N286" s="30"/>
      <c r="O286" s="30"/>
      <c r="P286" s="64"/>
      <c r="Q286" s="33" t="b">
        <f t="shared" si="2601"/>
        <v>0</v>
      </c>
      <c r="R286" s="9">
        <f t="shared" ref="R286" si="2782">IF($Q286=TRUE,G286*$D$2,0)</f>
        <v>0</v>
      </c>
      <c r="S286" s="9">
        <f t="shared" ref="S286" si="2783">IF($Q286=TRUE,H286*$D$2,0)</f>
        <v>0</v>
      </c>
      <c r="T286" s="9">
        <f t="shared" ref="T286" si="2784">IF($Q286=TRUE,I286*$D$2,0)</f>
        <v>0</v>
      </c>
      <c r="U286" s="9">
        <f t="shared" ref="U286" si="2785">IF($Q286=TRUE,J286*$D$2,0)</f>
        <v>0</v>
      </c>
      <c r="V286" s="9">
        <f t="shared" ref="V286" si="2786">IF($Q286=TRUE,K286*$D$2,0)</f>
        <v>0</v>
      </c>
      <c r="W286" s="9">
        <f t="shared" ref="W286" si="2787">IF($Q286=TRUE,L286*$D$2,0)</f>
        <v>0</v>
      </c>
      <c r="X286" s="9">
        <f t="shared" ref="X286" si="2788">IF($Q286=TRUE,M286*$D$2,0)</f>
        <v>0</v>
      </c>
      <c r="Y286" s="9">
        <f t="shared" ref="Y286" si="2789">IF($Q286=TRUE,N286*$D$2,0)</f>
        <v>0</v>
      </c>
      <c r="Z286" s="9">
        <f t="shared" ref="Z286" si="2790">IF($Q286=TRUE,O286*$D$2,0)</f>
        <v>0</v>
      </c>
      <c r="AA286" s="9">
        <f t="shared" ref="AA286" si="2791">IF($Q286=TRUE,P286*$D$2,0)</f>
        <v>0</v>
      </c>
    </row>
    <row r="287" spans="1:27" x14ac:dyDescent="0.2">
      <c r="A287" s="77"/>
      <c r="B287" s="6" t="s">
        <v>23</v>
      </c>
      <c r="C287" s="7" t="s">
        <v>206</v>
      </c>
      <c r="D287" s="8"/>
      <c r="E287" s="8"/>
      <c r="F287" s="8" t="b">
        <v>0</v>
      </c>
      <c r="G287" s="30"/>
      <c r="H287" s="30">
        <v>298</v>
      </c>
      <c r="I287" s="30">
        <v>298</v>
      </c>
      <c r="J287" s="30"/>
      <c r="K287" s="30"/>
      <c r="L287" s="30"/>
      <c r="M287" s="30"/>
      <c r="N287" s="30"/>
      <c r="O287" s="30"/>
      <c r="P287" s="64"/>
      <c r="Q287" s="32" t="b">
        <f t="shared" si="2590"/>
        <v>0</v>
      </c>
      <c r="R287" s="9">
        <f t="shared" ref="R287" si="2792">IF($Q287=TRUE,G287*$D$1,0)</f>
        <v>0</v>
      </c>
      <c r="S287" s="9">
        <f t="shared" ref="S287" si="2793">IF($Q287=TRUE,H287*$D$1,0)</f>
        <v>0</v>
      </c>
      <c r="T287" s="9">
        <f t="shared" ref="T287" si="2794">IF($Q287=TRUE,I287*$D$1,0)</f>
        <v>0</v>
      </c>
      <c r="U287" s="9">
        <f t="shared" ref="U287" si="2795">IF($Q287=TRUE,J287*$D$1,0)</f>
        <v>0</v>
      </c>
      <c r="V287" s="9">
        <f t="shared" ref="V287" si="2796">IF($Q287=TRUE,K287*$D$1,0)</f>
        <v>0</v>
      </c>
      <c r="W287" s="9">
        <f t="shared" ref="W287" si="2797">IF($Q287=TRUE,L287*$D$1,0)</f>
        <v>0</v>
      </c>
      <c r="X287" s="9">
        <f t="shared" ref="X287" si="2798">IF($Q287=TRUE,M287*$D$1,0)</f>
        <v>0</v>
      </c>
      <c r="Y287" s="9">
        <f t="shared" ref="Y287" si="2799">IF($Q287=TRUE,N287*$D$1,0)</f>
        <v>0</v>
      </c>
      <c r="Z287" s="9">
        <f t="shared" ref="Z287" si="2800">IF($Q287=TRUE,O287*$D$1,0)</f>
        <v>0</v>
      </c>
      <c r="AA287" s="9">
        <f t="shared" ref="AA287" si="2801">IF($Q287=TRUE,P287*$D$1,0)</f>
        <v>0</v>
      </c>
    </row>
    <row r="288" spans="1:27" x14ac:dyDescent="0.2">
      <c r="A288" s="77"/>
      <c r="B288" s="10" t="s">
        <v>28</v>
      </c>
      <c r="C288" s="11" t="s">
        <v>206</v>
      </c>
      <c r="D288" s="12"/>
      <c r="E288" s="25"/>
      <c r="F288" s="25" t="b">
        <v>0</v>
      </c>
      <c r="G288" s="30"/>
      <c r="H288" s="30">
        <v>496</v>
      </c>
      <c r="I288" s="30">
        <v>496</v>
      </c>
      <c r="J288" s="30"/>
      <c r="K288" s="30"/>
      <c r="L288" s="30"/>
      <c r="M288" s="30"/>
      <c r="N288" s="30"/>
      <c r="O288" s="30"/>
      <c r="P288" s="64"/>
      <c r="Q288" s="33" t="b">
        <f t="shared" si="2601"/>
        <v>0</v>
      </c>
      <c r="R288" s="9">
        <f t="shared" ref="R288" si="2802">IF($Q288=TRUE,G288*$D$2,0)</f>
        <v>0</v>
      </c>
      <c r="S288" s="9">
        <f t="shared" ref="S288" si="2803">IF($Q288=TRUE,H288*$D$2,0)</f>
        <v>0</v>
      </c>
      <c r="T288" s="9">
        <f t="shared" ref="T288" si="2804">IF($Q288=TRUE,I288*$D$2,0)</f>
        <v>0</v>
      </c>
      <c r="U288" s="9">
        <f t="shared" ref="U288" si="2805">IF($Q288=TRUE,J288*$D$2,0)</f>
        <v>0</v>
      </c>
      <c r="V288" s="9">
        <f t="shared" ref="V288" si="2806">IF($Q288=TRUE,K288*$D$2,0)</f>
        <v>0</v>
      </c>
      <c r="W288" s="9">
        <f t="shared" ref="W288" si="2807">IF($Q288=TRUE,L288*$D$2,0)</f>
        <v>0</v>
      </c>
      <c r="X288" s="9">
        <f t="shared" ref="X288" si="2808">IF($Q288=TRUE,M288*$D$2,0)</f>
        <v>0</v>
      </c>
      <c r="Y288" s="9">
        <f t="shared" ref="Y288" si="2809">IF($Q288=TRUE,N288*$D$2,0)</f>
        <v>0</v>
      </c>
      <c r="Z288" s="9">
        <f t="shared" ref="Z288" si="2810">IF($Q288=TRUE,O288*$D$2,0)</f>
        <v>0</v>
      </c>
      <c r="AA288" s="9">
        <f t="shared" ref="AA288" si="2811">IF($Q288=TRUE,P288*$D$2,0)</f>
        <v>0</v>
      </c>
    </row>
    <row r="289" spans="1:27" x14ac:dyDescent="0.2">
      <c r="A289" s="77"/>
      <c r="B289" s="6" t="s">
        <v>23</v>
      </c>
      <c r="C289" s="7" t="s">
        <v>207</v>
      </c>
      <c r="D289" s="8"/>
      <c r="E289" s="8"/>
      <c r="F289" s="8" t="b">
        <v>0</v>
      </c>
      <c r="G289" s="30"/>
      <c r="H289" s="30"/>
      <c r="I289" s="30">
        <v>336</v>
      </c>
      <c r="J289" s="30"/>
      <c r="K289" s="30"/>
      <c r="L289" s="30"/>
      <c r="M289" s="30"/>
      <c r="N289" s="30"/>
      <c r="O289" s="30"/>
      <c r="P289" s="64"/>
      <c r="Q289" s="32" t="b">
        <f t="shared" si="2590"/>
        <v>0</v>
      </c>
      <c r="R289" s="9">
        <f t="shared" ref="R289" si="2812">IF($Q289=TRUE,G289*$D$1,0)</f>
        <v>0</v>
      </c>
      <c r="S289" s="9">
        <f t="shared" ref="S289" si="2813">IF($Q289=TRUE,H289*$D$1,0)</f>
        <v>0</v>
      </c>
      <c r="T289" s="9">
        <f t="shared" ref="T289" si="2814">IF($Q289=TRUE,I289*$D$1,0)</f>
        <v>0</v>
      </c>
      <c r="U289" s="9">
        <f t="shared" ref="U289" si="2815">IF($Q289=TRUE,J289*$D$1,0)</f>
        <v>0</v>
      </c>
      <c r="V289" s="9">
        <f t="shared" ref="V289" si="2816">IF($Q289=TRUE,K289*$D$1,0)</f>
        <v>0</v>
      </c>
      <c r="W289" s="9">
        <f t="shared" ref="W289" si="2817">IF($Q289=TRUE,L289*$D$1,0)</f>
        <v>0</v>
      </c>
      <c r="X289" s="9">
        <f t="shared" ref="X289" si="2818">IF($Q289=TRUE,M289*$D$1,0)</f>
        <v>0</v>
      </c>
      <c r="Y289" s="9">
        <f t="shared" ref="Y289" si="2819">IF($Q289=TRUE,N289*$D$1,0)</f>
        <v>0</v>
      </c>
      <c r="Z289" s="9">
        <f t="shared" ref="Z289" si="2820">IF($Q289=TRUE,O289*$D$1,0)</f>
        <v>0</v>
      </c>
      <c r="AA289" s="9">
        <f t="shared" ref="AA289" si="2821">IF($Q289=TRUE,P289*$D$1,0)</f>
        <v>0</v>
      </c>
    </row>
    <row r="290" spans="1:27" x14ac:dyDescent="0.2">
      <c r="A290" s="77"/>
      <c r="B290" s="10" t="s">
        <v>28</v>
      </c>
      <c r="C290" s="11" t="s">
        <v>207</v>
      </c>
      <c r="D290" s="12"/>
      <c r="E290" s="25"/>
      <c r="F290" s="25" t="b">
        <v>0</v>
      </c>
      <c r="G290" s="30"/>
      <c r="H290" s="30"/>
      <c r="I290" s="30">
        <v>560</v>
      </c>
      <c r="J290" s="30"/>
      <c r="K290" s="30"/>
      <c r="L290" s="30"/>
      <c r="M290" s="30"/>
      <c r="N290" s="30"/>
      <c r="O290" s="30"/>
      <c r="P290" s="64"/>
      <c r="Q290" s="33" t="b">
        <f t="shared" si="2601"/>
        <v>0</v>
      </c>
      <c r="R290" s="9">
        <f t="shared" ref="R290" si="2822">IF($Q290=TRUE,G290*$D$2,0)</f>
        <v>0</v>
      </c>
      <c r="S290" s="9">
        <f t="shared" ref="S290" si="2823">IF($Q290=TRUE,H290*$D$2,0)</f>
        <v>0</v>
      </c>
      <c r="T290" s="9">
        <f t="shared" ref="T290" si="2824">IF($Q290=TRUE,I290*$D$2,0)</f>
        <v>0</v>
      </c>
      <c r="U290" s="9">
        <f t="shared" ref="U290" si="2825">IF($Q290=TRUE,J290*$D$2,0)</f>
        <v>0</v>
      </c>
      <c r="V290" s="9">
        <f t="shared" ref="V290" si="2826">IF($Q290=TRUE,K290*$D$2,0)</f>
        <v>0</v>
      </c>
      <c r="W290" s="9">
        <f t="shared" ref="W290" si="2827">IF($Q290=TRUE,L290*$D$2,0)</f>
        <v>0</v>
      </c>
      <c r="X290" s="9">
        <f t="shared" ref="X290" si="2828">IF($Q290=TRUE,M290*$D$2,0)</f>
        <v>0</v>
      </c>
      <c r="Y290" s="9">
        <f t="shared" ref="Y290" si="2829">IF($Q290=TRUE,N290*$D$2,0)</f>
        <v>0</v>
      </c>
      <c r="Z290" s="9">
        <f t="shared" ref="Z290" si="2830">IF($Q290=TRUE,O290*$D$2,0)</f>
        <v>0</v>
      </c>
      <c r="AA290" s="9">
        <f t="shared" ref="AA290" si="2831">IF($Q290=TRUE,P290*$D$2,0)</f>
        <v>0</v>
      </c>
    </row>
    <row r="291" spans="1:27" x14ac:dyDescent="0.2">
      <c r="A291" s="77"/>
      <c r="B291" s="6" t="s">
        <v>23</v>
      </c>
      <c r="C291" s="7" t="s">
        <v>208</v>
      </c>
      <c r="D291" s="8"/>
      <c r="E291" s="8"/>
      <c r="F291" s="8" t="b">
        <v>0</v>
      </c>
      <c r="G291" s="30"/>
      <c r="H291" s="30">
        <v>372</v>
      </c>
      <c r="I291" s="30">
        <v>372</v>
      </c>
      <c r="J291" s="30"/>
      <c r="K291" s="30"/>
      <c r="L291" s="30"/>
      <c r="M291" s="30"/>
      <c r="N291" s="30"/>
      <c r="O291" s="30"/>
      <c r="P291" s="64"/>
      <c r="Q291" s="32" t="b">
        <f t="shared" si="2590"/>
        <v>0</v>
      </c>
      <c r="R291" s="9">
        <f t="shared" ref="R291" si="2832">IF($Q291=TRUE,G291*$D$1,0)</f>
        <v>0</v>
      </c>
      <c r="S291" s="9">
        <f t="shared" ref="S291" si="2833">IF($Q291=TRUE,H291*$D$1,0)</f>
        <v>0</v>
      </c>
      <c r="T291" s="9">
        <f t="shared" ref="T291" si="2834">IF($Q291=TRUE,I291*$D$1,0)</f>
        <v>0</v>
      </c>
      <c r="U291" s="9">
        <f t="shared" ref="U291" si="2835">IF($Q291=TRUE,J291*$D$1,0)</f>
        <v>0</v>
      </c>
      <c r="V291" s="9">
        <f t="shared" ref="V291" si="2836">IF($Q291=TRUE,K291*$D$1,0)</f>
        <v>0</v>
      </c>
      <c r="W291" s="9">
        <f t="shared" ref="W291" si="2837">IF($Q291=TRUE,L291*$D$1,0)</f>
        <v>0</v>
      </c>
      <c r="X291" s="9">
        <f t="shared" ref="X291" si="2838">IF($Q291=TRUE,M291*$D$1,0)</f>
        <v>0</v>
      </c>
      <c r="Y291" s="9">
        <f t="shared" ref="Y291" si="2839">IF($Q291=TRUE,N291*$D$1,0)</f>
        <v>0</v>
      </c>
      <c r="Z291" s="9">
        <f t="shared" ref="Z291" si="2840">IF($Q291=TRUE,O291*$D$1,0)</f>
        <v>0</v>
      </c>
      <c r="AA291" s="9">
        <f t="shared" ref="AA291" si="2841">IF($Q291=TRUE,P291*$D$1,0)</f>
        <v>0</v>
      </c>
    </row>
    <row r="292" spans="1:27" x14ac:dyDescent="0.2">
      <c r="A292" s="77"/>
      <c r="B292" s="10" t="s">
        <v>28</v>
      </c>
      <c r="C292" s="11" t="s">
        <v>208</v>
      </c>
      <c r="D292" s="12"/>
      <c r="E292" s="25"/>
      <c r="F292" s="25" t="b">
        <v>0</v>
      </c>
      <c r="G292" s="30"/>
      <c r="H292" s="30">
        <v>620</v>
      </c>
      <c r="I292" s="30">
        <v>620</v>
      </c>
      <c r="J292" s="30"/>
      <c r="K292" s="30"/>
      <c r="L292" s="30"/>
      <c r="M292" s="30"/>
      <c r="N292" s="30"/>
      <c r="O292" s="30"/>
      <c r="P292" s="64"/>
      <c r="Q292" s="33" t="b">
        <f t="shared" si="2601"/>
        <v>0</v>
      </c>
      <c r="R292" s="9">
        <f t="shared" ref="R292" si="2842">IF($Q292=TRUE,G292*$D$2,0)</f>
        <v>0</v>
      </c>
      <c r="S292" s="9">
        <f t="shared" ref="S292" si="2843">IF($Q292=TRUE,H292*$D$2,0)</f>
        <v>0</v>
      </c>
      <c r="T292" s="9">
        <f t="shared" ref="T292" si="2844">IF($Q292=TRUE,I292*$D$2,0)</f>
        <v>0</v>
      </c>
      <c r="U292" s="9">
        <f t="shared" ref="U292" si="2845">IF($Q292=TRUE,J292*$D$2,0)</f>
        <v>0</v>
      </c>
      <c r="V292" s="9">
        <f t="shared" ref="V292" si="2846">IF($Q292=TRUE,K292*$D$2,0)</f>
        <v>0</v>
      </c>
      <c r="W292" s="9">
        <f t="shared" ref="W292" si="2847">IF($Q292=TRUE,L292*$D$2,0)</f>
        <v>0</v>
      </c>
      <c r="X292" s="9">
        <f t="shared" ref="X292" si="2848">IF($Q292=TRUE,M292*$D$2,0)</f>
        <v>0</v>
      </c>
      <c r="Y292" s="9">
        <f t="shared" ref="Y292" si="2849">IF($Q292=TRUE,N292*$D$2,0)</f>
        <v>0</v>
      </c>
      <c r="Z292" s="9">
        <f t="shared" ref="Z292" si="2850">IF($Q292=TRUE,O292*$D$2,0)</f>
        <v>0</v>
      </c>
      <c r="AA292" s="9">
        <f t="shared" ref="AA292" si="2851">IF($Q292=TRUE,P292*$D$2,0)</f>
        <v>0</v>
      </c>
    </row>
    <row r="293" spans="1:27" ht="25.5" x14ac:dyDescent="0.2">
      <c r="A293" s="77"/>
      <c r="B293" s="6" t="s">
        <v>23</v>
      </c>
      <c r="C293" s="7" t="s">
        <v>209</v>
      </c>
      <c r="D293" s="8"/>
      <c r="E293" s="8"/>
      <c r="F293" s="8" t="b">
        <v>0</v>
      </c>
      <c r="G293" s="30"/>
      <c r="H293" s="30"/>
      <c r="I293" s="30"/>
      <c r="J293" s="30"/>
      <c r="K293" s="30"/>
      <c r="L293" s="30"/>
      <c r="M293" s="30"/>
      <c r="N293" s="30">
        <v>15900</v>
      </c>
      <c r="O293" s="30"/>
      <c r="P293" s="64"/>
      <c r="Q293" s="32" t="b">
        <f t="shared" si="2590"/>
        <v>0</v>
      </c>
      <c r="R293" s="9">
        <f t="shared" ref="R293" si="2852">IF($Q293=TRUE,G293*$D$1,0)</f>
        <v>0</v>
      </c>
      <c r="S293" s="9">
        <f t="shared" ref="S293" si="2853">IF($Q293=TRUE,H293*$D$1,0)</f>
        <v>0</v>
      </c>
      <c r="T293" s="9">
        <f t="shared" ref="T293" si="2854">IF($Q293=TRUE,I293*$D$1,0)</f>
        <v>0</v>
      </c>
      <c r="U293" s="9">
        <f t="shared" ref="U293" si="2855">IF($Q293=TRUE,J293*$D$1,0)</f>
        <v>0</v>
      </c>
      <c r="V293" s="9">
        <f t="shared" ref="V293" si="2856">IF($Q293=TRUE,K293*$D$1,0)</f>
        <v>0</v>
      </c>
      <c r="W293" s="9">
        <f t="shared" ref="W293" si="2857">IF($Q293=TRUE,L293*$D$1,0)</f>
        <v>0</v>
      </c>
      <c r="X293" s="9">
        <f t="shared" ref="X293" si="2858">IF($Q293=TRUE,M293*$D$1,0)</f>
        <v>0</v>
      </c>
      <c r="Y293" s="9">
        <f t="shared" ref="Y293" si="2859">IF($Q293=TRUE,N293*$D$1,0)</f>
        <v>0</v>
      </c>
      <c r="Z293" s="9">
        <f t="shared" ref="Z293" si="2860">IF($Q293=TRUE,O293*$D$1,0)</f>
        <v>0</v>
      </c>
      <c r="AA293" s="9">
        <f t="shared" ref="AA293" si="2861">IF($Q293=TRUE,P293*$D$1,0)</f>
        <v>0</v>
      </c>
    </row>
    <row r="294" spans="1:27" ht="25.5" x14ac:dyDescent="0.2">
      <c r="A294" s="77"/>
      <c r="B294" s="10" t="s">
        <v>28</v>
      </c>
      <c r="C294" s="11" t="s">
        <v>210</v>
      </c>
      <c r="D294" s="12"/>
      <c r="E294" s="25"/>
      <c r="F294" s="25" t="b">
        <v>0</v>
      </c>
      <c r="G294" s="30"/>
      <c r="H294" s="30"/>
      <c r="I294" s="30"/>
      <c r="J294" s="30"/>
      <c r="K294" s="30"/>
      <c r="L294" s="30"/>
      <c r="M294" s="30"/>
      <c r="N294" s="30">
        <v>39800</v>
      </c>
      <c r="O294" s="30"/>
      <c r="P294" s="64"/>
      <c r="Q294" s="33" t="b">
        <f t="shared" si="2601"/>
        <v>0</v>
      </c>
      <c r="R294" s="9">
        <f t="shared" ref="R294" si="2862">IF($Q294=TRUE,G294*$D$2,0)</f>
        <v>0</v>
      </c>
      <c r="S294" s="9">
        <f t="shared" ref="S294" si="2863">IF($Q294=TRUE,H294*$D$2,0)</f>
        <v>0</v>
      </c>
      <c r="T294" s="9">
        <f t="shared" ref="T294" si="2864">IF($Q294=TRUE,I294*$D$2,0)</f>
        <v>0</v>
      </c>
      <c r="U294" s="9">
        <f t="shared" ref="U294" si="2865">IF($Q294=TRUE,J294*$D$2,0)</f>
        <v>0</v>
      </c>
      <c r="V294" s="9">
        <f t="shared" ref="V294" si="2866">IF($Q294=TRUE,K294*$D$2,0)</f>
        <v>0</v>
      </c>
      <c r="W294" s="9">
        <f t="shared" ref="W294" si="2867">IF($Q294=TRUE,L294*$D$2,0)</f>
        <v>0</v>
      </c>
      <c r="X294" s="9">
        <f t="shared" ref="X294" si="2868">IF($Q294=TRUE,M294*$D$2,0)</f>
        <v>0</v>
      </c>
      <c r="Y294" s="9">
        <f t="shared" ref="Y294" si="2869">IF($Q294=TRUE,N294*$D$2,0)</f>
        <v>0</v>
      </c>
      <c r="Z294" s="9">
        <f t="shared" ref="Z294" si="2870">IF($Q294=TRUE,O294*$D$2,0)</f>
        <v>0</v>
      </c>
      <c r="AA294" s="9">
        <f t="shared" ref="AA294" si="2871">IF($Q294=TRUE,P294*$D$2,0)</f>
        <v>0</v>
      </c>
    </row>
    <row r="295" spans="1:27" ht="25.5" x14ac:dyDescent="0.2">
      <c r="A295" s="77"/>
      <c r="B295" s="6" t="s">
        <v>23</v>
      </c>
      <c r="C295" s="7" t="s">
        <v>211</v>
      </c>
      <c r="D295" s="8"/>
      <c r="E295" s="8"/>
      <c r="F295" s="8" t="b">
        <v>0</v>
      </c>
      <c r="G295" s="30"/>
      <c r="H295" s="30"/>
      <c r="I295" s="30"/>
      <c r="J295" s="30"/>
      <c r="K295" s="30"/>
      <c r="L295" s="30"/>
      <c r="M295" s="30"/>
      <c r="N295" s="30">
        <v>116.44</v>
      </c>
      <c r="O295" s="30"/>
      <c r="P295" s="64"/>
      <c r="Q295" s="32" t="b">
        <f t="shared" si="2590"/>
        <v>0</v>
      </c>
      <c r="R295" s="9">
        <f t="shared" ref="R295" si="2872">IF($Q295=TRUE,G295*$D$1,0)</f>
        <v>0</v>
      </c>
      <c r="S295" s="9">
        <f t="shared" ref="S295" si="2873">IF($Q295=TRUE,H295*$D$1,0)</f>
        <v>0</v>
      </c>
      <c r="T295" s="9">
        <f t="shared" ref="T295" si="2874">IF($Q295=TRUE,I295*$D$1,0)</f>
        <v>0</v>
      </c>
      <c r="U295" s="9">
        <f t="shared" ref="U295" si="2875">IF($Q295=TRUE,J295*$D$1,0)</f>
        <v>0</v>
      </c>
      <c r="V295" s="9">
        <f t="shared" ref="V295" si="2876">IF($Q295=TRUE,K295*$D$1,0)</f>
        <v>0</v>
      </c>
      <c r="W295" s="9">
        <f t="shared" ref="W295" si="2877">IF($Q295=TRUE,L295*$D$1,0)</f>
        <v>0</v>
      </c>
      <c r="X295" s="9">
        <f t="shared" ref="X295" si="2878">IF($Q295=TRUE,M295*$D$1,0)</f>
        <v>0</v>
      </c>
      <c r="Y295" s="9">
        <f t="shared" ref="Y295" si="2879">IF($Q295=TRUE,N295*$D$1,0)</f>
        <v>0</v>
      </c>
      <c r="Z295" s="9">
        <f t="shared" ref="Z295" si="2880">IF($Q295=TRUE,O295*$D$1,0)</f>
        <v>0</v>
      </c>
      <c r="AA295" s="9">
        <f t="shared" ref="AA295" si="2881">IF($Q295=TRUE,P295*$D$1,0)</f>
        <v>0</v>
      </c>
    </row>
    <row r="296" spans="1:27" ht="25.5" x14ac:dyDescent="0.2">
      <c r="A296" s="77"/>
      <c r="B296" s="10" t="s">
        <v>28</v>
      </c>
      <c r="C296" s="11" t="s">
        <v>212</v>
      </c>
      <c r="D296" s="12"/>
      <c r="E296" s="25"/>
      <c r="F296" s="25" t="b">
        <v>0</v>
      </c>
      <c r="G296" s="30"/>
      <c r="H296" s="30"/>
      <c r="I296" s="30"/>
      <c r="J296" s="30"/>
      <c r="K296" s="30"/>
      <c r="L296" s="30"/>
      <c r="M296" s="30"/>
      <c r="N296" s="30">
        <v>291.10000000000002</v>
      </c>
      <c r="O296" s="30"/>
      <c r="P296" s="64"/>
      <c r="Q296" s="33" t="b">
        <f t="shared" si="2601"/>
        <v>0</v>
      </c>
      <c r="R296" s="9">
        <f t="shared" ref="R296" si="2882">IF($Q296=TRUE,G296*$D$2,0)</f>
        <v>0</v>
      </c>
      <c r="S296" s="9">
        <f t="shared" ref="S296" si="2883">IF($Q296=TRUE,H296*$D$2,0)</f>
        <v>0</v>
      </c>
      <c r="T296" s="9">
        <f t="shared" ref="T296" si="2884">IF($Q296=TRUE,I296*$D$2,0)</f>
        <v>0</v>
      </c>
      <c r="U296" s="9">
        <f t="shared" ref="U296" si="2885">IF($Q296=TRUE,J296*$D$2,0)</f>
        <v>0</v>
      </c>
      <c r="V296" s="9">
        <f t="shared" ref="V296" si="2886">IF($Q296=TRUE,K296*$D$2,0)</f>
        <v>0</v>
      </c>
      <c r="W296" s="9">
        <f t="shared" ref="W296" si="2887">IF($Q296=TRUE,L296*$D$2,0)</f>
        <v>0</v>
      </c>
      <c r="X296" s="9">
        <f t="shared" ref="X296" si="2888">IF($Q296=TRUE,M296*$D$2,0)</f>
        <v>0</v>
      </c>
      <c r="Y296" s="9">
        <f t="shared" ref="Y296" si="2889">IF($Q296=TRUE,N296*$D$2,0)</f>
        <v>0</v>
      </c>
      <c r="Z296" s="9">
        <f t="shared" ref="Z296" si="2890">IF($Q296=TRUE,O296*$D$2,0)</f>
        <v>0</v>
      </c>
      <c r="AA296" s="9">
        <f t="shared" ref="AA296" si="2891">IF($Q296=TRUE,P296*$D$2,0)</f>
        <v>0</v>
      </c>
    </row>
    <row r="297" spans="1:27" ht="25.5" x14ac:dyDescent="0.2">
      <c r="A297" s="77"/>
      <c r="B297" s="6" t="s">
        <v>23</v>
      </c>
      <c r="C297" s="7" t="s">
        <v>213</v>
      </c>
      <c r="D297" s="8"/>
      <c r="E297" s="8"/>
      <c r="F297" s="8" t="b">
        <v>0</v>
      </c>
      <c r="G297" s="30"/>
      <c r="H297" s="30"/>
      <c r="I297" s="30"/>
      <c r="J297" s="30"/>
      <c r="K297" s="30"/>
      <c r="L297" s="30"/>
      <c r="M297" s="30"/>
      <c r="N297" s="30">
        <v>93.15</v>
      </c>
      <c r="O297" s="30"/>
      <c r="P297" s="64"/>
      <c r="Q297" s="32" t="b">
        <f t="shared" si="2590"/>
        <v>0</v>
      </c>
      <c r="R297" s="9">
        <f t="shared" ref="R297" si="2892">IF($Q297=TRUE,G297*$D$1,0)</f>
        <v>0</v>
      </c>
      <c r="S297" s="9">
        <f t="shared" ref="S297" si="2893">IF($Q297=TRUE,H297*$D$1,0)</f>
        <v>0</v>
      </c>
      <c r="T297" s="9">
        <f t="shared" ref="T297" si="2894">IF($Q297=TRUE,I297*$D$1,0)</f>
        <v>0</v>
      </c>
      <c r="U297" s="9">
        <f t="shared" ref="U297" si="2895">IF($Q297=TRUE,J297*$D$1,0)</f>
        <v>0</v>
      </c>
      <c r="V297" s="9">
        <f t="shared" ref="V297" si="2896">IF($Q297=TRUE,K297*$D$1,0)</f>
        <v>0</v>
      </c>
      <c r="W297" s="9">
        <f t="shared" ref="W297" si="2897">IF($Q297=TRUE,L297*$D$1,0)</f>
        <v>0</v>
      </c>
      <c r="X297" s="9">
        <f t="shared" ref="X297" si="2898">IF($Q297=TRUE,M297*$D$1,0)</f>
        <v>0</v>
      </c>
      <c r="Y297" s="9">
        <f t="shared" ref="Y297" si="2899">IF($Q297=TRUE,N297*$D$1,0)</f>
        <v>0</v>
      </c>
      <c r="Z297" s="9">
        <f t="shared" ref="Z297" si="2900">IF($Q297=TRUE,O297*$D$1,0)</f>
        <v>0</v>
      </c>
      <c r="AA297" s="9">
        <f t="shared" ref="AA297" si="2901">IF($Q297=TRUE,P297*$D$1,0)</f>
        <v>0</v>
      </c>
    </row>
    <row r="298" spans="1:27" ht="25.5" x14ac:dyDescent="0.2">
      <c r="A298" s="77"/>
      <c r="B298" s="10" t="s">
        <v>28</v>
      </c>
      <c r="C298" s="11" t="s">
        <v>214</v>
      </c>
      <c r="D298" s="12"/>
      <c r="E298" s="25"/>
      <c r="F298" s="25" t="b">
        <v>0</v>
      </c>
      <c r="G298" s="30"/>
      <c r="H298" s="30"/>
      <c r="I298" s="30"/>
      <c r="J298" s="30"/>
      <c r="K298" s="30"/>
      <c r="L298" s="30"/>
      <c r="M298" s="30"/>
      <c r="N298" s="30">
        <v>232.88</v>
      </c>
      <c r="O298" s="30"/>
      <c r="P298" s="64"/>
      <c r="Q298" s="33" t="b">
        <f t="shared" si="2601"/>
        <v>0</v>
      </c>
      <c r="R298" s="9">
        <f t="shared" ref="R298" si="2902">IF($Q298=TRUE,G298*$D$2,0)</f>
        <v>0</v>
      </c>
      <c r="S298" s="9">
        <f t="shared" ref="S298" si="2903">IF($Q298=TRUE,H298*$D$2,0)</f>
        <v>0</v>
      </c>
      <c r="T298" s="9">
        <f t="shared" ref="T298" si="2904">IF($Q298=TRUE,I298*$D$2,0)</f>
        <v>0</v>
      </c>
      <c r="U298" s="9">
        <f t="shared" ref="U298" si="2905">IF($Q298=TRUE,J298*$D$2,0)</f>
        <v>0</v>
      </c>
      <c r="V298" s="9">
        <f t="shared" ref="V298" si="2906">IF($Q298=TRUE,K298*$D$2,0)</f>
        <v>0</v>
      </c>
      <c r="W298" s="9">
        <f t="shared" ref="W298" si="2907">IF($Q298=TRUE,L298*$D$2,0)</f>
        <v>0</v>
      </c>
      <c r="X298" s="9">
        <f t="shared" ref="X298" si="2908">IF($Q298=TRUE,M298*$D$2,0)</f>
        <v>0</v>
      </c>
      <c r="Y298" s="9">
        <f t="shared" ref="Y298" si="2909">IF($Q298=TRUE,N298*$D$2,0)</f>
        <v>0</v>
      </c>
      <c r="Z298" s="9">
        <f t="shared" ref="Z298" si="2910">IF($Q298=TRUE,O298*$D$2,0)</f>
        <v>0</v>
      </c>
      <c r="AA298" s="9">
        <f t="shared" ref="AA298" si="2911">IF($Q298=TRUE,P298*$D$2,0)</f>
        <v>0</v>
      </c>
    </row>
    <row r="299" spans="1:27" x14ac:dyDescent="0.2">
      <c r="A299" s="77"/>
      <c r="B299" s="6" t="s">
        <v>23</v>
      </c>
      <c r="C299" s="7" t="s">
        <v>215</v>
      </c>
      <c r="D299" s="8"/>
      <c r="E299" s="8"/>
      <c r="F299" s="8" t="b">
        <v>0</v>
      </c>
      <c r="G299" s="30"/>
      <c r="H299" s="30"/>
      <c r="I299" s="30"/>
      <c r="J299" s="30"/>
      <c r="K299" s="30"/>
      <c r="L299" s="30"/>
      <c r="M299" s="30"/>
      <c r="N299" s="30"/>
      <c r="O299" s="30"/>
      <c r="P299" s="64"/>
      <c r="Q299" s="32" t="b">
        <f t="shared" si="2590"/>
        <v>0</v>
      </c>
      <c r="R299" s="9">
        <f t="shared" ref="R299" si="2912">IF($Q299=TRUE,G299*$D$1,0)</f>
        <v>0</v>
      </c>
      <c r="S299" s="9">
        <f t="shared" ref="S299" si="2913">IF($Q299=TRUE,H299*$D$1,0)</f>
        <v>0</v>
      </c>
      <c r="T299" s="9">
        <f t="shared" ref="T299" si="2914">IF($Q299=TRUE,I299*$D$1,0)</f>
        <v>0</v>
      </c>
      <c r="U299" s="9">
        <f t="shared" ref="U299" si="2915">IF($Q299=TRUE,J299*$D$1,0)</f>
        <v>0</v>
      </c>
      <c r="V299" s="9">
        <f t="shared" ref="V299" si="2916">IF($Q299=TRUE,K299*$D$1,0)</f>
        <v>0</v>
      </c>
      <c r="W299" s="9">
        <f t="shared" ref="W299" si="2917">IF($Q299=TRUE,L299*$D$1,0)</f>
        <v>0</v>
      </c>
      <c r="X299" s="9">
        <f t="shared" ref="X299" si="2918">IF($Q299=TRUE,M299*$D$1,0)</f>
        <v>0</v>
      </c>
      <c r="Y299" s="9">
        <f t="shared" ref="Y299" si="2919">IF($Q299=TRUE,N299*$D$1,0)</f>
        <v>0</v>
      </c>
      <c r="Z299" s="9">
        <f t="shared" ref="Z299" si="2920">IF($Q299=TRUE,O299*$D$1,0)</f>
        <v>0</v>
      </c>
      <c r="AA299" s="9">
        <f t="shared" ref="AA299" si="2921">IF($Q299=TRUE,P299*$D$1,0)</f>
        <v>0</v>
      </c>
    </row>
    <row r="300" spans="1:27" x14ac:dyDescent="0.2">
      <c r="A300" s="77"/>
      <c r="B300" s="10" t="s">
        <v>28</v>
      </c>
      <c r="C300" s="11" t="s">
        <v>216</v>
      </c>
      <c r="D300" s="12"/>
      <c r="E300" s="25"/>
      <c r="F300" s="25" t="b">
        <v>0</v>
      </c>
      <c r="G300" s="30"/>
      <c r="H300" s="30"/>
      <c r="I300" s="30"/>
      <c r="J300" s="30"/>
      <c r="K300" s="30"/>
      <c r="L300" s="30"/>
      <c r="M300" s="30"/>
      <c r="N300" s="30">
        <v>29000</v>
      </c>
      <c r="O300" s="30"/>
      <c r="P300" s="64"/>
      <c r="Q300" s="33" t="b">
        <f t="shared" si="2601"/>
        <v>0</v>
      </c>
      <c r="R300" s="9">
        <f t="shared" ref="R300" si="2922">IF($Q300=TRUE,G300*$D$2,0)</f>
        <v>0</v>
      </c>
      <c r="S300" s="9">
        <f t="shared" ref="S300" si="2923">IF($Q300=TRUE,H300*$D$2,0)</f>
        <v>0</v>
      </c>
      <c r="T300" s="9">
        <f t="shared" ref="T300" si="2924">IF($Q300=TRUE,I300*$D$2,0)</f>
        <v>0</v>
      </c>
      <c r="U300" s="9">
        <f t="shared" ref="U300" si="2925">IF($Q300=TRUE,J300*$D$2,0)</f>
        <v>0</v>
      </c>
      <c r="V300" s="9">
        <f t="shared" ref="V300" si="2926">IF($Q300=TRUE,K300*$D$2,0)</f>
        <v>0</v>
      </c>
      <c r="W300" s="9">
        <f t="shared" ref="W300" si="2927">IF($Q300=TRUE,L300*$D$2,0)</f>
        <v>0</v>
      </c>
      <c r="X300" s="9">
        <f t="shared" ref="X300" si="2928">IF($Q300=TRUE,M300*$D$2,0)</f>
        <v>0</v>
      </c>
      <c r="Y300" s="9">
        <f t="shared" ref="Y300" si="2929">IF($Q300=TRUE,N300*$D$2,0)</f>
        <v>0</v>
      </c>
      <c r="Z300" s="9">
        <f t="shared" ref="Z300" si="2930">IF($Q300=TRUE,O300*$D$2,0)</f>
        <v>0</v>
      </c>
      <c r="AA300" s="9">
        <f t="shared" ref="AA300" si="2931">IF($Q300=TRUE,P300*$D$2,0)</f>
        <v>0</v>
      </c>
    </row>
    <row r="301" spans="1:27" x14ac:dyDescent="0.2">
      <c r="A301" s="77"/>
      <c r="B301" s="6" t="s">
        <v>23</v>
      </c>
      <c r="C301" s="7" t="s">
        <v>217</v>
      </c>
      <c r="D301" s="8"/>
      <c r="E301" s="8"/>
      <c r="F301" s="8" t="b">
        <v>0</v>
      </c>
      <c r="G301" s="30"/>
      <c r="H301" s="30"/>
      <c r="I301" s="30"/>
      <c r="J301" s="30"/>
      <c r="K301" s="30"/>
      <c r="L301" s="30"/>
      <c r="M301" s="30"/>
      <c r="N301" s="30"/>
      <c r="O301" s="30"/>
      <c r="P301" s="64"/>
      <c r="Q301" s="32" t="b">
        <f t="shared" si="2590"/>
        <v>0</v>
      </c>
      <c r="R301" s="9">
        <f t="shared" ref="R301" si="2932">IF($Q301=TRUE,G301*$D$1,0)</f>
        <v>0</v>
      </c>
      <c r="S301" s="9">
        <f t="shared" ref="S301" si="2933">IF($Q301=TRUE,H301*$D$1,0)</f>
        <v>0</v>
      </c>
      <c r="T301" s="9">
        <f t="shared" ref="T301" si="2934">IF($Q301=TRUE,I301*$D$1,0)</f>
        <v>0</v>
      </c>
      <c r="U301" s="9">
        <f t="shared" ref="U301" si="2935">IF($Q301=TRUE,J301*$D$1,0)</f>
        <v>0</v>
      </c>
      <c r="V301" s="9">
        <f t="shared" ref="V301" si="2936">IF($Q301=TRUE,K301*$D$1,0)</f>
        <v>0</v>
      </c>
      <c r="W301" s="9">
        <f t="shared" ref="W301" si="2937">IF($Q301=TRUE,L301*$D$1,0)</f>
        <v>0</v>
      </c>
      <c r="X301" s="9">
        <f t="shared" ref="X301" si="2938">IF($Q301=TRUE,M301*$D$1,0)</f>
        <v>0</v>
      </c>
      <c r="Y301" s="9">
        <f t="shared" ref="Y301" si="2939">IF($Q301=TRUE,N301*$D$1,0)</f>
        <v>0</v>
      </c>
      <c r="Z301" s="9">
        <f t="shared" ref="Z301" si="2940">IF($Q301=TRUE,O301*$D$1,0)</f>
        <v>0</v>
      </c>
      <c r="AA301" s="9">
        <f t="shared" ref="AA301" si="2941">IF($Q301=TRUE,P301*$D$1,0)</f>
        <v>0</v>
      </c>
    </row>
    <row r="302" spans="1:27" x14ac:dyDescent="0.2">
      <c r="A302" s="77"/>
      <c r="B302" s="10" t="s">
        <v>28</v>
      </c>
      <c r="C302" s="11" t="s">
        <v>217</v>
      </c>
      <c r="D302" s="12"/>
      <c r="E302" s="25"/>
      <c r="F302" s="25" t="b">
        <v>0</v>
      </c>
      <c r="G302" s="30"/>
      <c r="H302" s="30"/>
      <c r="I302" s="30"/>
      <c r="J302" s="30"/>
      <c r="K302" s="30"/>
      <c r="L302" s="30"/>
      <c r="M302" s="30"/>
      <c r="N302" s="30">
        <v>200</v>
      </c>
      <c r="O302" s="30"/>
      <c r="P302" s="64"/>
      <c r="Q302" s="33" t="b">
        <f t="shared" si="2601"/>
        <v>0</v>
      </c>
      <c r="R302" s="9">
        <f t="shared" ref="R302" si="2942">IF($Q302=TRUE,G302*$D$2,0)</f>
        <v>0</v>
      </c>
      <c r="S302" s="9">
        <f t="shared" ref="S302" si="2943">IF($Q302=TRUE,H302*$D$2,0)</f>
        <v>0</v>
      </c>
      <c r="T302" s="9">
        <f t="shared" ref="T302" si="2944">IF($Q302=TRUE,I302*$D$2,0)</f>
        <v>0</v>
      </c>
      <c r="U302" s="9">
        <f t="shared" ref="U302" si="2945">IF($Q302=TRUE,J302*$D$2,0)</f>
        <v>0</v>
      </c>
      <c r="V302" s="9">
        <f t="shared" ref="V302" si="2946">IF($Q302=TRUE,K302*$D$2,0)</f>
        <v>0</v>
      </c>
      <c r="W302" s="9">
        <f t="shared" ref="W302" si="2947">IF($Q302=TRUE,L302*$D$2,0)</f>
        <v>0</v>
      </c>
      <c r="X302" s="9">
        <f t="shared" ref="X302" si="2948">IF($Q302=TRUE,M302*$D$2,0)</f>
        <v>0</v>
      </c>
      <c r="Y302" s="9">
        <f t="shared" ref="Y302" si="2949">IF($Q302=TRUE,N302*$D$2,0)</f>
        <v>0</v>
      </c>
      <c r="Z302" s="9">
        <f t="shared" ref="Z302" si="2950">IF($Q302=TRUE,O302*$D$2,0)</f>
        <v>0</v>
      </c>
      <c r="AA302" s="9">
        <f t="shared" ref="AA302" si="2951">IF($Q302=TRUE,P302*$D$2,0)</f>
        <v>0</v>
      </c>
    </row>
    <row r="303" spans="1:27" x14ac:dyDescent="0.2">
      <c r="A303" s="77"/>
      <c r="B303" s="6" t="s">
        <v>23</v>
      </c>
      <c r="C303" s="7" t="s">
        <v>218</v>
      </c>
      <c r="D303" s="8"/>
      <c r="E303" s="8"/>
      <c r="F303" s="8" t="b">
        <v>0</v>
      </c>
      <c r="G303" s="30"/>
      <c r="H303" s="30"/>
      <c r="I303" s="30"/>
      <c r="J303" s="30"/>
      <c r="K303" s="30"/>
      <c r="L303" s="30"/>
      <c r="M303" s="30"/>
      <c r="N303" s="30">
        <v>205.48</v>
      </c>
      <c r="O303" s="30"/>
      <c r="P303" s="64"/>
      <c r="Q303" s="32" t="b">
        <f t="shared" si="2590"/>
        <v>0</v>
      </c>
      <c r="R303" s="9">
        <f t="shared" ref="R303" si="2952">IF($Q303=TRUE,G303*$D$1,0)</f>
        <v>0</v>
      </c>
      <c r="S303" s="9">
        <f t="shared" ref="S303" si="2953">IF($Q303=TRUE,H303*$D$1,0)</f>
        <v>0</v>
      </c>
      <c r="T303" s="9">
        <f t="shared" ref="T303" si="2954">IF($Q303=TRUE,I303*$D$1,0)</f>
        <v>0</v>
      </c>
      <c r="U303" s="9">
        <f t="shared" ref="U303" si="2955">IF($Q303=TRUE,J303*$D$1,0)</f>
        <v>0</v>
      </c>
      <c r="V303" s="9">
        <f t="shared" ref="V303" si="2956">IF($Q303=TRUE,K303*$D$1,0)</f>
        <v>0</v>
      </c>
      <c r="W303" s="9">
        <f t="shared" ref="W303" si="2957">IF($Q303=TRUE,L303*$D$1,0)</f>
        <v>0</v>
      </c>
      <c r="X303" s="9">
        <f t="shared" ref="X303" si="2958">IF($Q303=TRUE,M303*$D$1,0)</f>
        <v>0</v>
      </c>
      <c r="Y303" s="9">
        <f t="shared" ref="Y303" si="2959">IF($Q303=TRUE,N303*$D$1,0)</f>
        <v>0</v>
      </c>
      <c r="Z303" s="9">
        <f t="shared" ref="Z303" si="2960">IF($Q303=TRUE,O303*$D$1,0)</f>
        <v>0</v>
      </c>
      <c r="AA303" s="9">
        <f t="shared" ref="AA303" si="2961">IF($Q303=TRUE,P303*$D$1,0)</f>
        <v>0</v>
      </c>
    </row>
    <row r="304" spans="1:27" x14ac:dyDescent="0.2">
      <c r="A304" s="77"/>
      <c r="B304" s="10" t="s">
        <v>28</v>
      </c>
      <c r="C304" s="11" t="s">
        <v>219</v>
      </c>
      <c r="D304" s="12"/>
      <c r="E304" s="25"/>
      <c r="F304" s="25" t="b">
        <v>0</v>
      </c>
      <c r="G304" s="30"/>
      <c r="H304" s="30"/>
      <c r="I304" s="30"/>
      <c r="J304" s="30"/>
      <c r="K304" s="30"/>
      <c r="L304" s="30"/>
      <c r="M304" s="30"/>
      <c r="N304" s="30">
        <v>479.45</v>
      </c>
      <c r="O304" s="30"/>
      <c r="P304" s="64"/>
      <c r="Q304" s="33" t="b">
        <f t="shared" si="2601"/>
        <v>0</v>
      </c>
      <c r="R304" s="9">
        <f t="shared" ref="R304" si="2962">IF($Q304=TRUE,G304*$D$2,0)</f>
        <v>0</v>
      </c>
      <c r="S304" s="9">
        <f t="shared" ref="S304" si="2963">IF($Q304=TRUE,H304*$D$2,0)</f>
        <v>0</v>
      </c>
      <c r="T304" s="9">
        <f t="shared" ref="T304" si="2964">IF($Q304=TRUE,I304*$D$2,0)</f>
        <v>0</v>
      </c>
      <c r="U304" s="9">
        <f t="shared" ref="U304" si="2965">IF($Q304=TRUE,J304*$D$2,0)</f>
        <v>0</v>
      </c>
      <c r="V304" s="9">
        <f t="shared" ref="V304" si="2966">IF($Q304=TRUE,K304*$D$2,0)</f>
        <v>0</v>
      </c>
      <c r="W304" s="9">
        <f t="shared" ref="W304" si="2967">IF($Q304=TRUE,L304*$D$2,0)</f>
        <v>0</v>
      </c>
      <c r="X304" s="9">
        <f t="shared" ref="X304" si="2968">IF($Q304=TRUE,M304*$D$2,0)</f>
        <v>0</v>
      </c>
      <c r="Y304" s="9">
        <f t="shared" ref="Y304" si="2969">IF($Q304=TRUE,N304*$D$2,0)</f>
        <v>0</v>
      </c>
      <c r="Z304" s="9">
        <f t="shared" ref="Z304" si="2970">IF($Q304=TRUE,O304*$D$2,0)</f>
        <v>0</v>
      </c>
      <c r="AA304" s="9">
        <f t="shared" ref="AA304" si="2971">IF($Q304=TRUE,P304*$D$2,0)</f>
        <v>0</v>
      </c>
    </row>
    <row r="305" spans="1:27" x14ac:dyDescent="0.2">
      <c r="A305" s="77"/>
      <c r="B305" s="6" t="s">
        <v>23</v>
      </c>
      <c r="C305" s="7" t="s">
        <v>220</v>
      </c>
      <c r="D305" s="8"/>
      <c r="E305" s="8"/>
      <c r="F305" s="8" t="b">
        <v>0</v>
      </c>
      <c r="G305" s="30"/>
      <c r="H305" s="30"/>
      <c r="I305" s="30"/>
      <c r="J305" s="30"/>
      <c r="K305" s="30"/>
      <c r="L305" s="30"/>
      <c r="M305" s="30"/>
      <c r="N305" s="30">
        <v>205.48</v>
      </c>
      <c r="O305" s="30"/>
      <c r="P305" s="64"/>
      <c r="Q305" s="32" t="b">
        <f t="shared" si="2590"/>
        <v>0</v>
      </c>
      <c r="R305" s="9">
        <f t="shared" ref="R305" si="2972">IF($Q305=TRUE,G305*$D$1,0)</f>
        <v>0</v>
      </c>
      <c r="S305" s="9">
        <f t="shared" ref="S305" si="2973">IF($Q305=TRUE,H305*$D$1,0)</f>
        <v>0</v>
      </c>
      <c r="T305" s="9">
        <f t="shared" ref="T305" si="2974">IF($Q305=TRUE,I305*$D$1,0)</f>
        <v>0</v>
      </c>
      <c r="U305" s="9">
        <f t="shared" ref="U305" si="2975">IF($Q305=TRUE,J305*$D$1,0)</f>
        <v>0</v>
      </c>
      <c r="V305" s="9">
        <f t="shared" ref="V305" si="2976">IF($Q305=TRUE,K305*$D$1,0)</f>
        <v>0</v>
      </c>
      <c r="W305" s="9">
        <f t="shared" ref="W305" si="2977">IF($Q305=TRUE,L305*$D$1,0)</f>
        <v>0</v>
      </c>
      <c r="X305" s="9">
        <f t="shared" ref="X305" si="2978">IF($Q305=TRUE,M305*$D$1,0)</f>
        <v>0</v>
      </c>
      <c r="Y305" s="9">
        <f t="shared" ref="Y305" si="2979">IF($Q305=TRUE,N305*$D$1,0)</f>
        <v>0</v>
      </c>
      <c r="Z305" s="9">
        <f t="shared" ref="Z305" si="2980">IF($Q305=TRUE,O305*$D$1,0)</f>
        <v>0</v>
      </c>
      <c r="AA305" s="9">
        <f t="shared" ref="AA305" si="2981">IF($Q305=TRUE,P305*$D$1,0)</f>
        <v>0</v>
      </c>
    </row>
    <row r="306" spans="1:27" x14ac:dyDescent="0.2">
      <c r="A306" s="77"/>
      <c r="B306" s="10" t="s">
        <v>28</v>
      </c>
      <c r="C306" s="11" t="s">
        <v>221</v>
      </c>
      <c r="D306" s="12"/>
      <c r="E306" s="25"/>
      <c r="F306" s="25" t="b">
        <v>0</v>
      </c>
      <c r="G306" s="30"/>
      <c r="H306" s="30"/>
      <c r="I306" s="30"/>
      <c r="J306" s="30"/>
      <c r="K306" s="30"/>
      <c r="L306" s="30"/>
      <c r="M306" s="30"/>
      <c r="N306" s="30">
        <v>479.45</v>
      </c>
      <c r="O306" s="30"/>
      <c r="P306" s="64"/>
      <c r="Q306" s="33" t="b">
        <f t="shared" si="2601"/>
        <v>0</v>
      </c>
      <c r="R306" s="9">
        <f t="shared" ref="R306" si="2982">IF($Q306=TRUE,G306*$D$2,0)</f>
        <v>0</v>
      </c>
      <c r="S306" s="9">
        <f t="shared" ref="S306" si="2983">IF($Q306=TRUE,H306*$D$2,0)</f>
        <v>0</v>
      </c>
      <c r="T306" s="9">
        <f t="shared" ref="T306" si="2984">IF($Q306=TRUE,I306*$D$2,0)</f>
        <v>0</v>
      </c>
      <c r="U306" s="9">
        <f t="shared" ref="U306" si="2985">IF($Q306=TRUE,J306*$D$2,0)</f>
        <v>0</v>
      </c>
      <c r="V306" s="9">
        <f t="shared" ref="V306" si="2986">IF($Q306=TRUE,K306*$D$2,0)</f>
        <v>0</v>
      </c>
      <c r="W306" s="9">
        <f t="shared" ref="W306" si="2987">IF($Q306=TRUE,L306*$D$2,0)</f>
        <v>0</v>
      </c>
      <c r="X306" s="9">
        <f t="shared" ref="X306" si="2988">IF($Q306=TRUE,M306*$D$2,0)</f>
        <v>0</v>
      </c>
      <c r="Y306" s="9">
        <f t="shared" ref="Y306" si="2989">IF($Q306=TRUE,N306*$D$2,0)</f>
        <v>0</v>
      </c>
      <c r="Z306" s="9">
        <f t="shared" ref="Z306" si="2990">IF($Q306=TRUE,O306*$D$2,0)</f>
        <v>0</v>
      </c>
      <c r="AA306" s="9">
        <f t="shared" ref="AA306" si="2991">IF($Q306=TRUE,P306*$D$2,0)</f>
        <v>0</v>
      </c>
    </row>
    <row r="307" spans="1:27" x14ac:dyDescent="0.2">
      <c r="A307" s="77"/>
      <c r="B307" s="6" t="s">
        <v>23</v>
      </c>
      <c r="C307" s="7" t="s">
        <v>222</v>
      </c>
      <c r="D307" s="8"/>
      <c r="E307" s="8"/>
      <c r="F307" s="8" t="b">
        <v>0</v>
      </c>
      <c r="G307" s="30"/>
      <c r="H307" s="30"/>
      <c r="I307" s="30"/>
      <c r="J307" s="30"/>
      <c r="K307" s="30"/>
      <c r="L307" s="30"/>
      <c r="M307" s="30"/>
      <c r="N307" s="30"/>
      <c r="O307" s="30"/>
      <c r="P307" s="64"/>
      <c r="Q307" s="32" t="b">
        <f t="shared" si="2590"/>
        <v>0</v>
      </c>
      <c r="R307" s="9">
        <f t="shared" ref="R307" si="2992">IF($Q307=TRUE,G307*$D$1,0)</f>
        <v>0</v>
      </c>
      <c r="S307" s="9">
        <f t="shared" ref="S307" si="2993">IF($Q307=TRUE,H307*$D$1,0)</f>
        <v>0</v>
      </c>
      <c r="T307" s="9">
        <f t="shared" ref="T307" si="2994">IF($Q307=TRUE,I307*$D$1,0)</f>
        <v>0</v>
      </c>
      <c r="U307" s="9">
        <f t="shared" ref="U307" si="2995">IF($Q307=TRUE,J307*$D$1,0)</f>
        <v>0</v>
      </c>
      <c r="V307" s="9">
        <f t="shared" ref="V307" si="2996">IF($Q307=TRUE,K307*$D$1,0)</f>
        <v>0</v>
      </c>
      <c r="W307" s="9">
        <f t="shared" ref="W307" si="2997">IF($Q307=TRUE,L307*$D$1,0)</f>
        <v>0</v>
      </c>
      <c r="X307" s="9">
        <f t="shared" ref="X307" si="2998">IF($Q307=TRUE,M307*$D$1,0)</f>
        <v>0</v>
      </c>
      <c r="Y307" s="9">
        <f t="shared" ref="Y307" si="2999">IF($Q307=TRUE,N307*$D$1,0)</f>
        <v>0</v>
      </c>
      <c r="Z307" s="9">
        <f t="shared" ref="Z307" si="3000">IF($Q307=TRUE,O307*$D$1,0)</f>
        <v>0</v>
      </c>
      <c r="AA307" s="9">
        <f t="shared" ref="AA307" si="3001">IF($Q307=TRUE,P307*$D$1,0)</f>
        <v>0</v>
      </c>
    </row>
    <row r="308" spans="1:27" x14ac:dyDescent="0.2">
      <c r="A308" s="77"/>
      <c r="B308" s="10" t="s">
        <v>28</v>
      </c>
      <c r="C308" s="11" t="s">
        <v>223</v>
      </c>
      <c r="D308" s="12"/>
      <c r="E308" s="25"/>
      <c r="F308" s="25" t="b">
        <v>0</v>
      </c>
      <c r="G308" s="30"/>
      <c r="H308" s="30"/>
      <c r="I308" s="30"/>
      <c r="J308" s="30"/>
      <c r="K308" s="30"/>
      <c r="L308" s="30"/>
      <c r="M308" s="30"/>
      <c r="N308" s="30">
        <v>49000</v>
      </c>
      <c r="O308" s="30"/>
      <c r="P308" s="64"/>
      <c r="Q308" s="33" t="b">
        <f t="shared" si="2601"/>
        <v>0</v>
      </c>
      <c r="R308" s="9">
        <f t="shared" ref="R308" si="3002">IF($Q308=TRUE,G308*$D$2,0)</f>
        <v>0</v>
      </c>
      <c r="S308" s="9">
        <f t="shared" ref="S308" si="3003">IF($Q308=TRUE,H308*$D$2,0)</f>
        <v>0</v>
      </c>
      <c r="T308" s="9">
        <f t="shared" ref="T308" si="3004">IF($Q308=TRUE,I308*$D$2,0)</f>
        <v>0</v>
      </c>
      <c r="U308" s="9">
        <f t="shared" ref="U308" si="3005">IF($Q308=TRUE,J308*$D$2,0)</f>
        <v>0</v>
      </c>
      <c r="V308" s="9">
        <f t="shared" ref="V308" si="3006">IF($Q308=TRUE,K308*$D$2,0)</f>
        <v>0</v>
      </c>
      <c r="W308" s="9">
        <f t="shared" ref="W308" si="3007">IF($Q308=TRUE,L308*$D$2,0)</f>
        <v>0</v>
      </c>
      <c r="X308" s="9">
        <f t="shared" ref="X308" si="3008">IF($Q308=TRUE,M308*$D$2,0)</f>
        <v>0</v>
      </c>
      <c r="Y308" s="9">
        <f t="shared" ref="Y308" si="3009">IF($Q308=TRUE,N308*$D$2,0)</f>
        <v>0</v>
      </c>
      <c r="Z308" s="9">
        <f t="shared" ref="Z308" si="3010">IF($Q308=TRUE,O308*$D$2,0)</f>
        <v>0</v>
      </c>
      <c r="AA308" s="9">
        <f t="shared" ref="AA308" si="3011">IF($Q308=TRUE,P308*$D$2,0)</f>
        <v>0</v>
      </c>
    </row>
    <row r="309" spans="1:27" x14ac:dyDescent="0.2">
      <c r="A309" s="77"/>
      <c r="B309" s="6" t="s">
        <v>23</v>
      </c>
      <c r="C309" s="7" t="s">
        <v>224</v>
      </c>
      <c r="D309" s="8"/>
      <c r="E309" s="8"/>
      <c r="F309" s="8" t="b">
        <v>0</v>
      </c>
      <c r="G309" s="30"/>
      <c r="H309" s="30"/>
      <c r="I309" s="30"/>
      <c r="J309" s="30"/>
      <c r="K309" s="30"/>
      <c r="L309" s="30"/>
      <c r="M309" s="30"/>
      <c r="N309" s="30">
        <v>111.45</v>
      </c>
      <c r="O309" s="30"/>
      <c r="P309" s="64"/>
      <c r="Q309" s="32" t="b">
        <f t="shared" si="2590"/>
        <v>0</v>
      </c>
      <c r="R309" s="9">
        <f t="shared" ref="R309" si="3012">IF($Q309=TRUE,G309*$D$1,0)</f>
        <v>0</v>
      </c>
      <c r="S309" s="9">
        <f t="shared" ref="S309" si="3013">IF($Q309=TRUE,H309*$D$1,0)</f>
        <v>0</v>
      </c>
      <c r="T309" s="9">
        <f t="shared" ref="T309" si="3014">IF($Q309=TRUE,I309*$D$1,0)</f>
        <v>0</v>
      </c>
      <c r="U309" s="9">
        <f t="shared" ref="U309" si="3015">IF($Q309=TRUE,J309*$D$1,0)</f>
        <v>0</v>
      </c>
      <c r="V309" s="9">
        <f t="shared" ref="V309" si="3016">IF($Q309=TRUE,K309*$D$1,0)</f>
        <v>0</v>
      </c>
      <c r="W309" s="9">
        <f t="shared" ref="W309" si="3017">IF($Q309=TRUE,L309*$D$1,0)</f>
        <v>0</v>
      </c>
      <c r="X309" s="9">
        <f t="shared" ref="X309" si="3018">IF($Q309=TRUE,M309*$D$1,0)</f>
        <v>0</v>
      </c>
      <c r="Y309" s="9">
        <f t="shared" ref="Y309" si="3019">IF($Q309=TRUE,N309*$D$1,0)</f>
        <v>0</v>
      </c>
      <c r="Z309" s="9">
        <f t="shared" ref="Z309" si="3020">IF($Q309=TRUE,O309*$D$1,0)</f>
        <v>0</v>
      </c>
      <c r="AA309" s="9">
        <f t="shared" ref="AA309" si="3021">IF($Q309=TRUE,P309*$D$1,0)</f>
        <v>0</v>
      </c>
    </row>
    <row r="310" spans="1:27" x14ac:dyDescent="0.2">
      <c r="A310" s="77"/>
      <c r="B310" s="10" t="s">
        <v>28</v>
      </c>
      <c r="C310" s="11" t="s">
        <v>224</v>
      </c>
      <c r="D310" s="12"/>
      <c r="E310" s="25"/>
      <c r="F310" s="25" t="b">
        <v>0</v>
      </c>
      <c r="G310" s="30"/>
      <c r="H310" s="30"/>
      <c r="I310" s="30"/>
      <c r="J310" s="30"/>
      <c r="K310" s="30"/>
      <c r="L310" s="30"/>
      <c r="M310" s="30"/>
      <c r="N310" s="30">
        <v>285.12</v>
      </c>
      <c r="O310" s="30"/>
      <c r="P310" s="64"/>
      <c r="Q310" s="33" t="b">
        <f t="shared" si="2601"/>
        <v>0</v>
      </c>
      <c r="R310" s="9">
        <f t="shared" ref="R310" si="3022">IF($Q310=TRUE,G310*$D$2,0)</f>
        <v>0</v>
      </c>
      <c r="S310" s="9">
        <f t="shared" ref="S310" si="3023">IF($Q310=TRUE,H310*$D$2,0)</f>
        <v>0</v>
      </c>
      <c r="T310" s="9">
        <f t="shared" ref="T310" si="3024">IF($Q310=TRUE,I310*$D$2,0)</f>
        <v>0</v>
      </c>
      <c r="U310" s="9">
        <f t="shared" ref="U310" si="3025">IF($Q310=TRUE,J310*$D$2,0)</f>
        <v>0</v>
      </c>
      <c r="V310" s="9">
        <f t="shared" ref="V310" si="3026">IF($Q310=TRUE,K310*$D$2,0)</f>
        <v>0</v>
      </c>
      <c r="W310" s="9">
        <f t="shared" ref="W310" si="3027">IF($Q310=TRUE,L310*$D$2,0)</f>
        <v>0</v>
      </c>
      <c r="X310" s="9">
        <f t="shared" ref="X310" si="3028">IF($Q310=TRUE,M310*$D$2,0)</f>
        <v>0</v>
      </c>
      <c r="Y310" s="9">
        <f t="shared" ref="Y310" si="3029">IF($Q310=TRUE,N310*$D$2,0)</f>
        <v>0</v>
      </c>
      <c r="Z310" s="9">
        <f t="shared" ref="Z310" si="3030">IF($Q310=TRUE,O310*$D$2,0)</f>
        <v>0</v>
      </c>
      <c r="AA310" s="9">
        <f t="shared" ref="AA310" si="3031">IF($Q310=TRUE,P310*$D$2,0)</f>
        <v>0</v>
      </c>
    </row>
    <row r="311" spans="1:27" x14ac:dyDescent="0.2">
      <c r="A311" s="77"/>
      <c r="B311" s="6" t="s">
        <v>23</v>
      </c>
      <c r="C311" s="7" t="s">
        <v>225</v>
      </c>
      <c r="D311" s="8"/>
      <c r="E311" s="8"/>
      <c r="F311" s="8" t="b">
        <v>0</v>
      </c>
      <c r="G311" s="30"/>
      <c r="H311" s="30"/>
      <c r="I311" s="30"/>
      <c r="J311" s="30"/>
      <c r="K311" s="30"/>
      <c r="L311" s="30"/>
      <c r="M311" s="30"/>
      <c r="N311" s="30">
        <v>161.97999999999999</v>
      </c>
      <c r="O311" s="30"/>
      <c r="P311" s="64"/>
      <c r="Q311" s="32" t="b">
        <f t="shared" si="2590"/>
        <v>0</v>
      </c>
      <c r="R311" s="9">
        <f t="shared" ref="R311" si="3032">IF($Q311=TRUE,G311*$D$1,0)</f>
        <v>0</v>
      </c>
      <c r="S311" s="9">
        <f t="shared" ref="S311" si="3033">IF($Q311=TRUE,H311*$D$1,0)</f>
        <v>0</v>
      </c>
      <c r="T311" s="9">
        <f t="shared" ref="T311" si="3034">IF($Q311=TRUE,I311*$D$1,0)</f>
        <v>0</v>
      </c>
      <c r="U311" s="9">
        <f t="shared" ref="U311" si="3035">IF($Q311=TRUE,J311*$D$1,0)</f>
        <v>0</v>
      </c>
      <c r="V311" s="9">
        <f t="shared" ref="V311" si="3036">IF($Q311=TRUE,K311*$D$1,0)</f>
        <v>0</v>
      </c>
      <c r="W311" s="9">
        <f t="shared" ref="W311" si="3037">IF($Q311=TRUE,L311*$D$1,0)</f>
        <v>0</v>
      </c>
      <c r="X311" s="9">
        <f t="shared" ref="X311" si="3038">IF($Q311=TRUE,M311*$D$1,0)</f>
        <v>0</v>
      </c>
      <c r="Y311" s="9">
        <f t="shared" ref="Y311" si="3039">IF($Q311=TRUE,N311*$D$1,0)</f>
        <v>0</v>
      </c>
      <c r="Z311" s="9">
        <f t="shared" ref="Z311" si="3040">IF($Q311=TRUE,O311*$D$1,0)</f>
        <v>0</v>
      </c>
      <c r="AA311" s="9">
        <f t="shared" ref="AA311" si="3041">IF($Q311=TRUE,P311*$D$1,0)</f>
        <v>0</v>
      </c>
    </row>
    <row r="312" spans="1:27" x14ac:dyDescent="0.2">
      <c r="A312" s="77"/>
      <c r="B312" s="10" t="s">
        <v>28</v>
      </c>
      <c r="C312" s="11" t="s">
        <v>225</v>
      </c>
      <c r="D312" s="12"/>
      <c r="E312" s="25"/>
      <c r="F312" s="25" t="b">
        <v>0</v>
      </c>
      <c r="G312" s="30"/>
      <c r="H312" s="30"/>
      <c r="I312" s="30"/>
      <c r="J312" s="30"/>
      <c r="K312" s="30"/>
      <c r="L312" s="30"/>
      <c r="M312" s="30"/>
      <c r="N312" s="30">
        <v>399.16</v>
      </c>
      <c r="O312" s="30"/>
      <c r="P312" s="64"/>
      <c r="Q312" s="33" t="b">
        <f t="shared" si="2601"/>
        <v>0</v>
      </c>
      <c r="R312" s="9">
        <f t="shared" ref="R312" si="3042">IF($Q312=TRUE,G312*$D$2,0)</f>
        <v>0</v>
      </c>
      <c r="S312" s="9">
        <f t="shared" ref="S312" si="3043">IF($Q312=TRUE,H312*$D$2,0)</f>
        <v>0</v>
      </c>
      <c r="T312" s="9">
        <f t="shared" ref="T312" si="3044">IF($Q312=TRUE,I312*$D$2,0)</f>
        <v>0</v>
      </c>
      <c r="U312" s="9">
        <f t="shared" ref="U312" si="3045">IF($Q312=TRUE,J312*$D$2,0)</f>
        <v>0</v>
      </c>
      <c r="V312" s="9">
        <f t="shared" ref="V312" si="3046">IF($Q312=TRUE,K312*$D$2,0)</f>
        <v>0</v>
      </c>
      <c r="W312" s="9">
        <f t="shared" ref="W312" si="3047">IF($Q312=TRUE,L312*$D$2,0)</f>
        <v>0</v>
      </c>
      <c r="X312" s="9">
        <f t="shared" ref="X312" si="3048">IF($Q312=TRUE,M312*$D$2,0)</f>
        <v>0</v>
      </c>
      <c r="Y312" s="9">
        <f t="shared" ref="Y312" si="3049">IF($Q312=TRUE,N312*$D$2,0)</f>
        <v>0</v>
      </c>
      <c r="Z312" s="9">
        <f t="shared" ref="Z312" si="3050">IF($Q312=TRUE,O312*$D$2,0)</f>
        <v>0</v>
      </c>
      <c r="AA312" s="9">
        <f t="shared" ref="AA312" si="3051">IF($Q312=TRUE,P312*$D$2,0)</f>
        <v>0</v>
      </c>
    </row>
    <row r="313" spans="1:27" x14ac:dyDescent="0.2">
      <c r="A313" s="77"/>
      <c r="B313" s="6" t="s">
        <v>23</v>
      </c>
      <c r="C313" s="7" t="s">
        <v>226</v>
      </c>
      <c r="D313" s="8"/>
      <c r="E313" s="8"/>
      <c r="F313" s="8" t="b">
        <v>0</v>
      </c>
      <c r="G313" s="30"/>
      <c r="H313" s="30"/>
      <c r="I313" s="30"/>
      <c r="J313" s="30"/>
      <c r="K313" s="30"/>
      <c r="L313" s="30"/>
      <c r="M313" s="30"/>
      <c r="N313" s="30"/>
      <c r="O313" s="30">
        <v>182.5</v>
      </c>
      <c r="P313" s="64"/>
      <c r="Q313" s="32" t="b">
        <f t="shared" si="2590"/>
        <v>0</v>
      </c>
      <c r="R313" s="9">
        <f t="shared" ref="R313" si="3052">IF($Q313=TRUE,G313*$D$1,0)</f>
        <v>0</v>
      </c>
      <c r="S313" s="9">
        <f t="shared" ref="S313" si="3053">IF($Q313=TRUE,H313*$D$1,0)</f>
        <v>0</v>
      </c>
      <c r="T313" s="9">
        <f t="shared" ref="T313" si="3054">IF($Q313=TRUE,I313*$D$1,0)</f>
        <v>0</v>
      </c>
      <c r="U313" s="9">
        <f t="shared" ref="U313" si="3055">IF($Q313=TRUE,J313*$D$1,0)</f>
        <v>0</v>
      </c>
      <c r="V313" s="9">
        <f t="shared" ref="V313" si="3056">IF($Q313=TRUE,K313*$D$1,0)</f>
        <v>0</v>
      </c>
      <c r="W313" s="9">
        <f t="shared" ref="W313" si="3057">IF($Q313=TRUE,L313*$D$1,0)</f>
        <v>0</v>
      </c>
      <c r="X313" s="9">
        <f t="shared" ref="X313" si="3058">IF($Q313=TRUE,M313*$D$1,0)</f>
        <v>0</v>
      </c>
      <c r="Y313" s="9">
        <f t="shared" ref="Y313" si="3059">IF($Q313=TRUE,N313*$D$1,0)</f>
        <v>0</v>
      </c>
      <c r="Z313" s="9">
        <f t="shared" ref="Z313" si="3060">IF($Q313=TRUE,O313*$D$1,0)</f>
        <v>0</v>
      </c>
      <c r="AA313" s="9">
        <f t="shared" ref="AA313" si="3061">IF($Q313=TRUE,P313*$D$1,0)</f>
        <v>0</v>
      </c>
    </row>
    <row r="314" spans="1:27" x14ac:dyDescent="0.2">
      <c r="A314" s="77"/>
      <c r="B314" s="10" t="s">
        <v>28</v>
      </c>
      <c r="C314" s="11" t="s">
        <v>226</v>
      </c>
      <c r="D314" s="12"/>
      <c r="E314" s="25"/>
      <c r="F314" s="25" t="b">
        <v>0</v>
      </c>
      <c r="G314" s="30"/>
      <c r="H314" s="30"/>
      <c r="I314" s="30"/>
      <c r="J314" s="30"/>
      <c r="K314" s="30"/>
      <c r="L314" s="30"/>
      <c r="M314" s="30"/>
      <c r="N314" s="30"/>
      <c r="O314" s="30">
        <v>182.5</v>
      </c>
      <c r="P314" s="64"/>
      <c r="Q314" s="33" t="b">
        <f t="shared" si="2601"/>
        <v>0</v>
      </c>
      <c r="R314" s="9">
        <f t="shared" ref="R314" si="3062">IF($Q314=TRUE,G314*$D$2,0)</f>
        <v>0</v>
      </c>
      <c r="S314" s="9">
        <f t="shared" ref="S314" si="3063">IF($Q314=TRUE,H314*$D$2,0)</f>
        <v>0</v>
      </c>
      <c r="T314" s="9">
        <f t="shared" ref="T314" si="3064">IF($Q314=TRUE,I314*$D$2,0)</f>
        <v>0</v>
      </c>
      <c r="U314" s="9">
        <f t="shared" ref="U314" si="3065">IF($Q314=TRUE,J314*$D$2,0)</f>
        <v>0</v>
      </c>
      <c r="V314" s="9">
        <f t="shared" ref="V314" si="3066">IF($Q314=TRUE,K314*$D$2,0)</f>
        <v>0</v>
      </c>
      <c r="W314" s="9">
        <f t="shared" ref="W314" si="3067">IF($Q314=TRUE,L314*$D$2,0)</f>
        <v>0</v>
      </c>
      <c r="X314" s="9">
        <f t="shared" ref="X314" si="3068">IF($Q314=TRUE,M314*$D$2,0)</f>
        <v>0</v>
      </c>
      <c r="Y314" s="9">
        <f t="shared" ref="Y314" si="3069">IF($Q314=TRUE,N314*$D$2,0)</f>
        <v>0</v>
      </c>
      <c r="Z314" s="9">
        <f t="shared" ref="Z314" si="3070">IF($Q314=TRUE,O314*$D$2,0)</f>
        <v>0</v>
      </c>
      <c r="AA314" s="9">
        <f t="shared" ref="AA314" si="3071">IF($Q314=TRUE,P314*$D$2,0)</f>
        <v>0</v>
      </c>
    </row>
    <row r="315" spans="1:27" x14ac:dyDescent="0.2">
      <c r="A315" s="77"/>
      <c r="B315" s="6" t="s">
        <v>23</v>
      </c>
      <c r="C315" s="7" t="s">
        <v>227</v>
      </c>
      <c r="D315" s="8"/>
      <c r="E315" s="8"/>
      <c r="F315" s="8" t="b">
        <v>0</v>
      </c>
      <c r="G315" s="30"/>
      <c r="H315" s="30"/>
      <c r="I315" s="30"/>
      <c r="J315" s="30"/>
      <c r="K315" s="30"/>
      <c r="L315" s="30"/>
      <c r="M315" s="30"/>
      <c r="N315" s="30"/>
      <c r="O315" s="30">
        <v>182.5</v>
      </c>
      <c r="P315" s="64"/>
      <c r="Q315" s="32" t="b">
        <f t="shared" si="2590"/>
        <v>0</v>
      </c>
      <c r="R315" s="9">
        <f t="shared" ref="R315" si="3072">IF($Q315=TRUE,G315*$D$1,0)</f>
        <v>0</v>
      </c>
      <c r="S315" s="9">
        <f t="shared" ref="S315" si="3073">IF($Q315=TRUE,H315*$D$1,0)</f>
        <v>0</v>
      </c>
      <c r="T315" s="9">
        <f t="shared" ref="T315" si="3074">IF($Q315=TRUE,I315*$D$1,0)</f>
        <v>0</v>
      </c>
      <c r="U315" s="9">
        <f t="shared" ref="U315" si="3075">IF($Q315=TRUE,J315*$D$1,0)</f>
        <v>0</v>
      </c>
      <c r="V315" s="9">
        <f t="shared" ref="V315" si="3076">IF($Q315=TRUE,K315*$D$1,0)</f>
        <v>0</v>
      </c>
      <c r="W315" s="9">
        <f t="shared" ref="W315" si="3077">IF($Q315=TRUE,L315*$D$1,0)</f>
        <v>0</v>
      </c>
      <c r="X315" s="9">
        <f t="shared" ref="X315" si="3078">IF($Q315=TRUE,M315*$D$1,0)</f>
        <v>0</v>
      </c>
      <c r="Y315" s="9">
        <f t="shared" ref="Y315" si="3079">IF($Q315=TRUE,N315*$D$1,0)</f>
        <v>0</v>
      </c>
      <c r="Z315" s="9">
        <f t="shared" ref="Z315" si="3080">IF($Q315=TRUE,O315*$D$1,0)</f>
        <v>0</v>
      </c>
      <c r="AA315" s="9">
        <f t="shared" ref="AA315" si="3081">IF($Q315=TRUE,P315*$D$1,0)</f>
        <v>0</v>
      </c>
    </row>
    <row r="316" spans="1:27" x14ac:dyDescent="0.2">
      <c r="A316" s="77"/>
      <c r="B316" s="10" t="s">
        <v>28</v>
      </c>
      <c r="C316" s="11" t="s">
        <v>227</v>
      </c>
      <c r="D316" s="12"/>
      <c r="E316" s="25"/>
      <c r="F316" s="25" t="b">
        <v>0</v>
      </c>
      <c r="G316" s="30"/>
      <c r="H316" s="30"/>
      <c r="I316" s="30"/>
      <c r="J316" s="30"/>
      <c r="K316" s="30"/>
      <c r="L316" s="30"/>
      <c r="M316" s="30"/>
      <c r="N316" s="30"/>
      <c r="O316" s="30">
        <v>182.5</v>
      </c>
      <c r="P316" s="64"/>
      <c r="Q316" s="33" t="b">
        <f t="shared" si="2601"/>
        <v>0</v>
      </c>
      <c r="R316" s="9">
        <f t="shared" ref="R316" si="3082">IF($Q316=TRUE,G316*$D$2,0)</f>
        <v>0</v>
      </c>
      <c r="S316" s="9">
        <f t="shared" ref="S316" si="3083">IF($Q316=TRUE,H316*$D$2,0)</f>
        <v>0</v>
      </c>
      <c r="T316" s="9">
        <f t="shared" ref="T316" si="3084">IF($Q316=TRUE,I316*$D$2,0)</f>
        <v>0</v>
      </c>
      <c r="U316" s="9">
        <f t="shared" ref="U316" si="3085">IF($Q316=TRUE,J316*$D$2,0)</f>
        <v>0</v>
      </c>
      <c r="V316" s="9">
        <f t="shared" ref="V316" si="3086">IF($Q316=TRUE,K316*$D$2,0)</f>
        <v>0</v>
      </c>
      <c r="W316" s="9">
        <f t="shared" ref="W316" si="3087">IF($Q316=TRUE,L316*$D$2,0)</f>
        <v>0</v>
      </c>
      <c r="X316" s="9">
        <f t="shared" ref="X316" si="3088">IF($Q316=TRUE,M316*$D$2,0)</f>
        <v>0</v>
      </c>
      <c r="Y316" s="9">
        <f t="shared" ref="Y316" si="3089">IF($Q316=TRUE,N316*$D$2,0)</f>
        <v>0</v>
      </c>
      <c r="Z316" s="9">
        <f t="shared" ref="Z316" si="3090">IF($Q316=TRUE,O316*$D$2,0)</f>
        <v>0</v>
      </c>
      <c r="AA316" s="9">
        <f t="shared" ref="AA316" si="3091">IF($Q316=TRUE,P316*$D$2,0)</f>
        <v>0</v>
      </c>
    </row>
    <row r="317" spans="1:27" x14ac:dyDescent="0.2">
      <c r="A317" s="77"/>
      <c r="B317" s="6" t="s">
        <v>23</v>
      </c>
      <c r="C317" s="7" t="s">
        <v>228</v>
      </c>
      <c r="D317" s="8"/>
      <c r="E317" s="8"/>
      <c r="F317" s="8" t="b">
        <v>0</v>
      </c>
      <c r="G317" s="30"/>
      <c r="H317" s="30"/>
      <c r="I317" s="30"/>
      <c r="J317" s="30"/>
      <c r="K317" s="30"/>
      <c r="L317" s="30"/>
      <c r="M317" s="30"/>
      <c r="N317" s="30"/>
      <c r="O317" s="30">
        <v>182.5</v>
      </c>
      <c r="P317" s="64"/>
      <c r="Q317" s="32" t="b">
        <f t="shared" si="2590"/>
        <v>0</v>
      </c>
      <c r="R317" s="9">
        <f t="shared" ref="R317" si="3092">IF($Q317=TRUE,G317*$D$1,0)</f>
        <v>0</v>
      </c>
      <c r="S317" s="9">
        <f t="shared" ref="S317" si="3093">IF($Q317=TRUE,H317*$D$1,0)</f>
        <v>0</v>
      </c>
      <c r="T317" s="9">
        <f t="shared" ref="T317" si="3094">IF($Q317=TRUE,I317*$D$1,0)</f>
        <v>0</v>
      </c>
      <c r="U317" s="9">
        <f t="shared" ref="U317" si="3095">IF($Q317=TRUE,J317*$D$1,0)</f>
        <v>0</v>
      </c>
      <c r="V317" s="9">
        <f t="shared" ref="V317" si="3096">IF($Q317=TRUE,K317*$D$1,0)</f>
        <v>0</v>
      </c>
      <c r="W317" s="9">
        <f t="shared" ref="W317" si="3097">IF($Q317=TRUE,L317*$D$1,0)</f>
        <v>0</v>
      </c>
      <c r="X317" s="9">
        <f t="shared" ref="X317" si="3098">IF($Q317=TRUE,M317*$D$1,0)</f>
        <v>0</v>
      </c>
      <c r="Y317" s="9">
        <f t="shared" ref="Y317" si="3099">IF($Q317=TRUE,N317*$D$1,0)</f>
        <v>0</v>
      </c>
      <c r="Z317" s="9">
        <f t="shared" ref="Z317" si="3100">IF($Q317=TRUE,O317*$D$1,0)</f>
        <v>0</v>
      </c>
      <c r="AA317" s="9">
        <f t="shared" ref="AA317" si="3101">IF($Q317=TRUE,P317*$D$1,0)</f>
        <v>0</v>
      </c>
    </row>
    <row r="318" spans="1:27" ht="13.5" thickBot="1" x14ac:dyDescent="0.25">
      <c r="A318" s="78"/>
      <c r="B318" s="40" t="s">
        <v>28</v>
      </c>
      <c r="C318" s="41" t="s">
        <v>228</v>
      </c>
      <c r="D318" s="42"/>
      <c r="E318" s="43"/>
      <c r="F318" s="43" t="b">
        <v>0</v>
      </c>
      <c r="G318" s="65"/>
      <c r="H318" s="65"/>
      <c r="I318" s="65"/>
      <c r="J318" s="65"/>
      <c r="K318" s="65"/>
      <c r="L318" s="65"/>
      <c r="M318" s="65"/>
      <c r="N318" s="65"/>
      <c r="O318" s="65">
        <v>182.5</v>
      </c>
      <c r="P318" s="66"/>
      <c r="Q318" s="33" t="b">
        <f t="shared" si="2601"/>
        <v>0</v>
      </c>
      <c r="R318" s="9">
        <f t="shared" ref="R318" si="3102">IF($Q318=TRUE,G318*$D$2,0)</f>
        <v>0</v>
      </c>
      <c r="S318" s="9">
        <f t="shared" ref="S318" si="3103">IF($Q318=TRUE,H318*$D$2,0)</f>
        <v>0</v>
      </c>
      <c r="T318" s="9">
        <f t="shared" ref="T318" si="3104">IF($Q318=TRUE,I318*$D$2,0)</f>
        <v>0</v>
      </c>
      <c r="U318" s="9">
        <f t="shared" ref="U318" si="3105">IF($Q318=TRUE,J318*$D$2,0)</f>
        <v>0</v>
      </c>
      <c r="V318" s="9">
        <f t="shared" ref="V318" si="3106">IF($Q318=TRUE,K318*$D$2,0)</f>
        <v>0</v>
      </c>
      <c r="W318" s="9">
        <f t="shared" ref="W318" si="3107">IF($Q318=TRUE,L318*$D$2,0)</f>
        <v>0</v>
      </c>
      <c r="X318" s="9">
        <f t="shared" ref="X318" si="3108">IF($Q318=TRUE,M318*$D$2,0)</f>
        <v>0</v>
      </c>
      <c r="Y318" s="9">
        <f t="shared" ref="Y318" si="3109">IF($Q318=TRUE,N318*$D$2,0)</f>
        <v>0</v>
      </c>
      <c r="Z318" s="9">
        <f t="shared" ref="Z318" si="3110">IF($Q318=TRUE,O318*$D$2,0)</f>
        <v>0</v>
      </c>
      <c r="AA318" s="9">
        <f t="shared" ref="AA318" si="3111">IF($Q318=TRUE,P318*$D$2,0)</f>
        <v>0</v>
      </c>
    </row>
    <row r="319" spans="1:27" x14ac:dyDescent="0.2">
      <c r="A319" s="76" t="s">
        <v>46</v>
      </c>
      <c r="B319" s="34" t="s">
        <v>23</v>
      </c>
      <c r="C319" s="35" t="s">
        <v>229</v>
      </c>
      <c r="D319" s="36"/>
      <c r="E319" s="36"/>
      <c r="F319" s="36" t="b">
        <v>0</v>
      </c>
      <c r="G319" s="70"/>
      <c r="H319" s="70"/>
      <c r="I319" s="70"/>
      <c r="J319" s="70"/>
      <c r="K319" s="70"/>
      <c r="L319" s="70"/>
      <c r="M319" s="70"/>
      <c r="N319" s="70"/>
      <c r="O319" s="70"/>
      <c r="P319" s="71"/>
      <c r="Q319" s="32" t="b">
        <f t="shared" si="2590"/>
        <v>0</v>
      </c>
      <c r="R319" s="9">
        <f t="shared" ref="R319" si="3112">IF($Q319=TRUE,G319*$D$1,0)</f>
        <v>0</v>
      </c>
      <c r="S319" s="9">
        <f t="shared" ref="S319" si="3113">IF($Q319=TRUE,H319*$D$1,0)</f>
        <v>0</v>
      </c>
      <c r="T319" s="9">
        <f t="shared" ref="T319" si="3114">IF($Q319=TRUE,I319*$D$1,0)</f>
        <v>0</v>
      </c>
      <c r="U319" s="9">
        <f t="shared" ref="U319" si="3115">IF($Q319=TRUE,J319*$D$1,0)</f>
        <v>0</v>
      </c>
      <c r="V319" s="9">
        <f t="shared" ref="V319" si="3116">IF($Q319=TRUE,K319*$D$1,0)</f>
        <v>0</v>
      </c>
      <c r="W319" s="9">
        <f t="shared" ref="W319" si="3117">IF($Q319=TRUE,L319*$D$1,0)</f>
        <v>0</v>
      </c>
      <c r="X319" s="9">
        <f t="shared" ref="X319" si="3118">IF($Q319=TRUE,M319*$D$1,0)</f>
        <v>0</v>
      </c>
      <c r="Y319" s="9">
        <f t="shared" ref="Y319" si="3119">IF($Q319=TRUE,N319*$D$1,0)</f>
        <v>0</v>
      </c>
      <c r="Z319" s="9">
        <f t="shared" ref="Z319" si="3120">IF($Q319=TRUE,O319*$D$1,0)</f>
        <v>0</v>
      </c>
      <c r="AA319" s="9">
        <f t="shared" ref="AA319" si="3121">IF($Q319=TRUE,P319*$D$1,0)</f>
        <v>0</v>
      </c>
    </row>
    <row r="320" spans="1:27" x14ac:dyDescent="0.2">
      <c r="A320" s="77"/>
      <c r="B320" s="10" t="s">
        <v>28</v>
      </c>
      <c r="C320" s="11" t="s">
        <v>229</v>
      </c>
      <c r="D320" s="12"/>
      <c r="E320" s="25"/>
      <c r="F320" s="25" t="b">
        <v>0</v>
      </c>
      <c r="G320" s="31"/>
      <c r="H320" s="31"/>
      <c r="I320" s="31"/>
      <c r="J320" s="31"/>
      <c r="K320" s="31"/>
      <c r="L320" s="31"/>
      <c r="M320" s="31"/>
      <c r="N320" s="31"/>
      <c r="O320" s="31"/>
      <c r="P320" s="72"/>
      <c r="Q320" s="33" t="b">
        <f t="shared" si="2601"/>
        <v>0</v>
      </c>
      <c r="R320" s="9">
        <f t="shared" ref="R320" si="3122">IF($Q320=TRUE,G320*$D$2,0)</f>
        <v>0</v>
      </c>
      <c r="S320" s="9">
        <f t="shared" ref="S320" si="3123">IF($Q320=TRUE,H320*$D$2,0)</f>
        <v>0</v>
      </c>
      <c r="T320" s="9">
        <f t="shared" ref="T320" si="3124">IF($Q320=TRUE,I320*$D$2,0)</f>
        <v>0</v>
      </c>
      <c r="U320" s="9">
        <f t="shared" ref="U320" si="3125">IF($Q320=TRUE,J320*$D$2,0)</f>
        <v>0</v>
      </c>
      <c r="V320" s="9">
        <f t="shared" ref="V320" si="3126">IF($Q320=TRUE,K320*$D$2,0)</f>
        <v>0</v>
      </c>
      <c r="W320" s="9">
        <f t="shared" ref="W320" si="3127">IF($Q320=TRUE,L320*$D$2,0)</f>
        <v>0</v>
      </c>
      <c r="X320" s="9">
        <f t="shared" ref="X320" si="3128">IF($Q320=TRUE,M320*$D$2,0)</f>
        <v>0</v>
      </c>
      <c r="Y320" s="9">
        <f t="shared" ref="Y320" si="3129">IF($Q320=TRUE,N320*$D$2,0)</f>
        <v>0</v>
      </c>
      <c r="Z320" s="9">
        <f t="shared" ref="Z320" si="3130">IF($Q320=TRUE,O320*$D$2,0)</f>
        <v>0</v>
      </c>
      <c r="AA320" s="9">
        <f t="shared" ref="AA320" si="3131">IF($Q320=TRUE,P320*$D$2,0)</f>
        <v>0</v>
      </c>
    </row>
    <row r="321" spans="1:27" x14ac:dyDescent="0.2">
      <c r="A321" s="77"/>
      <c r="B321" s="6" t="s">
        <v>23</v>
      </c>
      <c r="C321" s="7" t="s">
        <v>230</v>
      </c>
      <c r="D321" s="8"/>
      <c r="E321" s="8"/>
      <c r="F321" s="8" t="b">
        <v>0</v>
      </c>
      <c r="G321" s="31"/>
      <c r="H321" s="31"/>
      <c r="I321" s="31"/>
      <c r="J321" s="31"/>
      <c r="K321" s="31"/>
      <c r="L321" s="31"/>
      <c r="M321" s="31"/>
      <c r="N321" s="31"/>
      <c r="O321" s="31"/>
      <c r="P321" s="72"/>
      <c r="Q321" s="32" t="b">
        <f t="shared" si="2590"/>
        <v>0</v>
      </c>
      <c r="R321" s="9">
        <f t="shared" ref="R321" si="3132">IF($Q321=TRUE,G321*$D$1,0)</f>
        <v>0</v>
      </c>
      <c r="S321" s="9">
        <f t="shared" ref="S321" si="3133">IF($Q321=TRUE,H321*$D$1,0)</f>
        <v>0</v>
      </c>
      <c r="T321" s="9">
        <f t="shared" ref="T321" si="3134">IF($Q321=TRUE,I321*$D$1,0)</f>
        <v>0</v>
      </c>
      <c r="U321" s="9">
        <f t="shared" ref="U321" si="3135">IF($Q321=TRUE,J321*$D$1,0)</f>
        <v>0</v>
      </c>
      <c r="V321" s="9">
        <f t="shared" ref="V321" si="3136">IF($Q321=TRUE,K321*$D$1,0)</f>
        <v>0</v>
      </c>
      <c r="W321" s="9">
        <f t="shared" ref="W321" si="3137">IF($Q321=TRUE,L321*$D$1,0)</f>
        <v>0</v>
      </c>
      <c r="X321" s="9">
        <f t="shared" ref="X321" si="3138">IF($Q321=TRUE,M321*$D$1,0)</f>
        <v>0</v>
      </c>
      <c r="Y321" s="9">
        <f t="shared" ref="Y321" si="3139">IF($Q321=TRUE,N321*$D$1,0)</f>
        <v>0</v>
      </c>
      <c r="Z321" s="9">
        <f t="shared" ref="Z321" si="3140">IF($Q321=TRUE,O321*$D$1,0)</f>
        <v>0</v>
      </c>
      <c r="AA321" s="9">
        <f t="shared" ref="AA321" si="3141">IF($Q321=TRUE,P321*$D$1,0)</f>
        <v>0</v>
      </c>
    </row>
    <row r="322" spans="1:27" x14ac:dyDescent="0.2">
      <c r="A322" s="77"/>
      <c r="B322" s="10" t="s">
        <v>28</v>
      </c>
      <c r="C322" s="11" t="s">
        <v>230</v>
      </c>
      <c r="D322" s="12"/>
      <c r="E322" s="25"/>
      <c r="F322" s="25" t="b">
        <v>0</v>
      </c>
      <c r="G322" s="31"/>
      <c r="H322" s="31"/>
      <c r="I322" s="31"/>
      <c r="J322" s="31"/>
      <c r="K322" s="31"/>
      <c r="L322" s="31"/>
      <c r="M322" s="31"/>
      <c r="N322" s="31"/>
      <c r="O322" s="31"/>
      <c r="P322" s="72"/>
      <c r="Q322" s="33" t="b">
        <f t="shared" si="2601"/>
        <v>0</v>
      </c>
      <c r="R322" s="9">
        <f t="shared" ref="R322" si="3142">IF($Q322=TRUE,G322*$D$2,0)</f>
        <v>0</v>
      </c>
      <c r="S322" s="9">
        <f t="shared" ref="S322" si="3143">IF($Q322=TRUE,H322*$D$2,0)</f>
        <v>0</v>
      </c>
      <c r="T322" s="9">
        <f t="shared" ref="T322" si="3144">IF($Q322=TRUE,I322*$D$2,0)</f>
        <v>0</v>
      </c>
      <c r="U322" s="9">
        <f t="shared" ref="U322" si="3145">IF($Q322=TRUE,J322*$D$2,0)</f>
        <v>0</v>
      </c>
      <c r="V322" s="9">
        <f t="shared" ref="V322" si="3146">IF($Q322=TRUE,K322*$D$2,0)</f>
        <v>0</v>
      </c>
      <c r="W322" s="9">
        <f t="shared" ref="W322" si="3147">IF($Q322=TRUE,L322*$D$2,0)</f>
        <v>0</v>
      </c>
      <c r="X322" s="9">
        <f t="shared" ref="X322" si="3148">IF($Q322=TRUE,M322*$D$2,0)</f>
        <v>0</v>
      </c>
      <c r="Y322" s="9">
        <f t="shared" ref="Y322" si="3149">IF($Q322=TRUE,N322*$D$2,0)</f>
        <v>0</v>
      </c>
      <c r="Z322" s="9">
        <f t="shared" ref="Z322" si="3150">IF($Q322=TRUE,O322*$D$2,0)</f>
        <v>0</v>
      </c>
      <c r="AA322" s="9">
        <f t="shared" ref="AA322" si="3151">IF($Q322=TRUE,P322*$D$2,0)</f>
        <v>0</v>
      </c>
    </row>
    <row r="323" spans="1:27" x14ac:dyDescent="0.2">
      <c r="A323" s="77"/>
      <c r="B323" s="6" t="s">
        <v>23</v>
      </c>
      <c r="C323" s="7" t="s">
        <v>231</v>
      </c>
      <c r="D323" s="8"/>
      <c r="E323" s="8"/>
      <c r="F323" s="8" t="b">
        <v>0</v>
      </c>
      <c r="G323" s="31"/>
      <c r="H323" s="31"/>
      <c r="I323" s="31"/>
      <c r="J323" s="31"/>
      <c r="K323" s="31"/>
      <c r="L323" s="31"/>
      <c r="M323" s="31"/>
      <c r="N323" s="31"/>
      <c r="O323" s="31"/>
      <c r="P323" s="72"/>
      <c r="Q323" s="32" t="b">
        <f t="shared" si="2590"/>
        <v>0</v>
      </c>
      <c r="R323" s="9">
        <f t="shared" ref="R323" si="3152">IF($Q323=TRUE,G323*$D$1,0)</f>
        <v>0</v>
      </c>
      <c r="S323" s="9">
        <f t="shared" ref="S323" si="3153">IF($Q323=TRUE,H323*$D$1,0)</f>
        <v>0</v>
      </c>
      <c r="T323" s="9">
        <f t="shared" ref="T323" si="3154">IF($Q323=TRUE,I323*$D$1,0)</f>
        <v>0</v>
      </c>
      <c r="U323" s="9">
        <f t="shared" ref="U323" si="3155">IF($Q323=TRUE,J323*$D$1,0)</f>
        <v>0</v>
      </c>
      <c r="V323" s="9">
        <f t="shared" ref="V323" si="3156">IF($Q323=TRUE,K323*$D$1,0)</f>
        <v>0</v>
      </c>
      <c r="W323" s="9">
        <f t="shared" ref="W323" si="3157">IF($Q323=TRUE,L323*$D$1,0)</f>
        <v>0</v>
      </c>
      <c r="X323" s="9">
        <f t="shared" ref="X323" si="3158">IF($Q323=TRUE,M323*$D$1,0)</f>
        <v>0</v>
      </c>
      <c r="Y323" s="9">
        <f t="shared" ref="Y323" si="3159">IF($Q323=TRUE,N323*$D$1,0)</f>
        <v>0</v>
      </c>
      <c r="Z323" s="9">
        <f t="shared" ref="Z323" si="3160">IF($Q323=TRUE,O323*$D$1,0)</f>
        <v>0</v>
      </c>
      <c r="AA323" s="9">
        <f t="shared" ref="AA323" si="3161">IF($Q323=TRUE,P323*$D$1,0)</f>
        <v>0</v>
      </c>
    </row>
    <row r="324" spans="1:27" x14ac:dyDescent="0.2">
      <c r="A324" s="77"/>
      <c r="B324" s="10" t="s">
        <v>28</v>
      </c>
      <c r="C324" s="11" t="s">
        <v>231</v>
      </c>
      <c r="D324" s="12"/>
      <c r="E324" s="25"/>
      <c r="F324" s="25" t="b">
        <v>0</v>
      </c>
      <c r="G324" s="31"/>
      <c r="H324" s="31"/>
      <c r="I324" s="31"/>
      <c r="J324" s="31"/>
      <c r="K324" s="31"/>
      <c r="L324" s="31"/>
      <c r="M324" s="31"/>
      <c r="N324" s="31"/>
      <c r="O324" s="31"/>
      <c r="P324" s="72"/>
      <c r="Q324" s="33" t="b">
        <f t="shared" si="2601"/>
        <v>0</v>
      </c>
      <c r="R324" s="9">
        <f t="shared" ref="R324" si="3162">IF($Q324=TRUE,G324*$D$2,0)</f>
        <v>0</v>
      </c>
      <c r="S324" s="9">
        <f t="shared" ref="S324" si="3163">IF($Q324=TRUE,H324*$D$2,0)</f>
        <v>0</v>
      </c>
      <c r="T324" s="9">
        <f t="shared" ref="T324" si="3164">IF($Q324=TRUE,I324*$D$2,0)</f>
        <v>0</v>
      </c>
      <c r="U324" s="9">
        <f t="shared" ref="U324" si="3165">IF($Q324=TRUE,J324*$D$2,0)</f>
        <v>0</v>
      </c>
      <c r="V324" s="9">
        <f t="shared" ref="V324" si="3166">IF($Q324=TRUE,K324*$D$2,0)</f>
        <v>0</v>
      </c>
      <c r="W324" s="9">
        <f t="shared" ref="W324" si="3167">IF($Q324=TRUE,L324*$D$2,0)</f>
        <v>0</v>
      </c>
      <c r="X324" s="9">
        <f t="shared" ref="X324" si="3168">IF($Q324=TRUE,M324*$D$2,0)</f>
        <v>0</v>
      </c>
      <c r="Y324" s="9">
        <f t="shared" ref="Y324" si="3169">IF($Q324=TRUE,N324*$D$2,0)</f>
        <v>0</v>
      </c>
      <c r="Z324" s="9">
        <f t="shared" ref="Z324" si="3170">IF($Q324=TRUE,O324*$D$2,0)</f>
        <v>0</v>
      </c>
      <c r="AA324" s="9">
        <f t="shared" ref="AA324" si="3171">IF($Q324=TRUE,P324*$D$2,0)</f>
        <v>0</v>
      </c>
    </row>
    <row r="325" spans="1:27" x14ac:dyDescent="0.2">
      <c r="A325" s="77"/>
      <c r="B325" s="6" t="s">
        <v>23</v>
      </c>
      <c r="C325" s="7" t="s">
        <v>232</v>
      </c>
      <c r="D325" s="8"/>
      <c r="E325" s="8"/>
      <c r="F325" s="8" t="b">
        <v>0</v>
      </c>
      <c r="G325" s="31"/>
      <c r="H325" s="31"/>
      <c r="I325" s="31"/>
      <c r="J325" s="31"/>
      <c r="K325" s="31"/>
      <c r="L325" s="31"/>
      <c r="M325" s="31"/>
      <c r="N325" s="31"/>
      <c r="O325" s="31"/>
      <c r="P325" s="72"/>
      <c r="Q325" s="32" t="b">
        <f t="shared" si="2590"/>
        <v>0</v>
      </c>
      <c r="R325" s="9">
        <f t="shared" ref="R325" si="3172">IF($Q325=TRUE,G325*$D$1,0)</f>
        <v>0</v>
      </c>
      <c r="S325" s="9">
        <f t="shared" ref="S325" si="3173">IF($Q325=TRUE,H325*$D$1,0)</f>
        <v>0</v>
      </c>
      <c r="T325" s="9">
        <f t="shared" ref="T325" si="3174">IF($Q325=TRUE,I325*$D$1,0)</f>
        <v>0</v>
      </c>
      <c r="U325" s="9">
        <f t="shared" ref="U325" si="3175">IF($Q325=TRUE,J325*$D$1,0)</f>
        <v>0</v>
      </c>
      <c r="V325" s="9">
        <f t="shared" ref="V325" si="3176">IF($Q325=TRUE,K325*$D$1,0)</f>
        <v>0</v>
      </c>
      <c r="W325" s="9">
        <f t="shared" ref="W325" si="3177">IF($Q325=TRUE,L325*$D$1,0)</f>
        <v>0</v>
      </c>
      <c r="X325" s="9">
        <f t="shared" ref="X325" si="3178">IF($Q325=TRUE,M325*$D$1,0)</f>
        <v>0</v>
      </c>
      <c r="Y325" s="9">
        <f t="shared" ref="Y325" si="3179">IF($Q325=TRUE,N325*$D$1,0)</f>
        <v>0</v>
      </c>
      <c r="Z325" s="9">
        <f t="shared" ref="Z325" si="3180">IF($Q325=TRUE,O325*$D$1,0)</f>
        <v>0</v>
      </c>
      <c r="AA325" s="9">
        <f t="shared" ref="AA325" si="3181">IF($Q325=TRUE,P325*$D$1,0)</f>
        <v>0</v>
      </c>
    </row>
    <row r="326" spans="1:27" x14ac:dyDescent="0.2">
      <c r="A326" s="77"/>
      <c r="B326" s="10" t="s">
        <v>28</v>
      </c>
      <c r="C326" s="11" t="s">
        <v>232</v>
      </c>
      <c r="D326" s="12"/>
      <c r="E326" s="25"/>
      <c r="F326" s="25" t="b">
        <v>0</v>
      </c>
      <c r="G326" s="31"/>
      <c r="H326" s="31"/>
      <c r="I326" s="31"/>
      <c r="J326" s="31"/>
      <c r="K326" s="31"/>
      <c r="L326" s="31"/>
      <c r="M326" s="31"/>
      <c r="N326" s="31"/>
      <c r="O326" s="31"/>
      <c r="P326" s="72"/>
      <c r="Q326" s="33" t="b">
        <f t="shared" si="2601"/>
        <v>0</v>
      </c>
      <c r="R326" s="9">
        <f t="shared" ref="R326" si="3182">IF($Q326=TRUE,G326*$D$2,0)</f>
        <v>0</v>
      </c>
      <c r="S326" s="9">
        <f t="shared" ref="S326" si="3183">IF($Q326=TRUE,H326*$D$2,0)</f>
        <v>0</v>
      </c>
      <c r="T326" s="9">
        <f t="shared" ref="T326" si="3184">IF($Q326=TRUE,I326*$D$2,0)</f>
        <v>0</v>
      </c>
      <c r="U326" s="9">
        <f t="shared" ref="U326" si="3185">IF($Q326=TRUE,J326*$D$2,0)</f>
        <v>0</v>
      </c>
      <c r="V326" s="9">
        <f t="shared" ref="V326" si="3186">IF($Q326=TRUE,K326*$D$2,0)</f>
        <v>0</v>
      </c>
      <c r="W326" s="9">
        <f t="shared" ref="W326" si="3187">IF($Q326=TRUE,L326*$D$2,0)</f>
        <v>0</v>
      </c>
      <c r="X326" s="9">
        <f t="shared" ref="X326" si="3188">IF($Q326=TRUE,M326*$D$2,0)</f>
        <v>0</v>
      </c>
      <c r="Y326" s="9">
        <f t="shared" ref="Y326" si="3189">IF($Q326=TRUE,N326*$D$2,0)</f>
        <v>0</v>
      </c>
      <c r="Z326" s="9">
        <f t="shared" ref="Z326" si="3190">IF($Q326=TRUE,O326*$D$2,0)</f>
        <v>0</v>
      </c>
      <c r="AA326" s="9">
        <f t="shared" ref="AA326" si="3191">IF($Q326=TRUE,P326*$D$2,0)</f>
        <v>0</v>
      </c>
    </row>
    <row r="327" spans="1:27" x14ac:dyDescent="0.2">
      <c r="A327" s="77"/>
      <c r="B327" s="6" t="s">
        <v>23</v>
      </c>
      <c r="C327" s="7" t="s">
        <v>233</v>
      </c>
      <c r="D327" s="8"/>
      <c r="E327" s="8"/>
      <c r="F327" s="8" t="b">
        <v>0</v>
      </c>
      <c r="G327" s="31"/>
      <c r="H327" s="31"/>
      <c r="I327" s="31"/>
      <c r="J327" s="31"/>
      <c r="K327" s="31"/>
      <c r="L327" s="31"/>
      <c r="M327" s="31"/>
      <c r="N327" s="31"/>
      <c r="O327" s="31"/>
      <c r="P327" s="72"/>
      <c r="Q327" s="32" t="b">
        <f t="shared" si="2590"/>
        <v>0</v>
      </c>
      <c r="R327" s="9">
        <f t="shared" ref="R327" si="3192">IF($Q327=TRUE,G327*$D$1,0)</f>
        <v>0</v>
      </c>
      <c r="S327" s="9">
        <f t="shared" ref="S327" si="3193">IF($Q327=TRUE,H327*$D$1,0)</f>
        <v>0</v>
      </c>
      <c r="T327" s="9">
        <f t="shared" ref="T327" si="3194">IF($Q327=TRUE,I327*$D$1,0)</f>
        <v>0</v>
      </c>
      <c r="U327" s="9">
        <f t="shared" ref="U327" si="3195">IF($Q327=TRUE,J327*$D$1,0)</f>
        <v>0</v>
      </c>
      <c r="V327" s="9">
        <f t="shared" ref="V327" si="3196">IF($Q327=TRUE,K327*$D$1,0)</f>
        <v>0</v>
      </c>
      <c r="W327" s="9">
        <f t="shared" ref="W327" si="3197">IF($Q327=TRUE,L327*$D$1,0)</f>
        <v>0</v>
      </c>
      <c r="X327" s="9">
        <f t="shared" ref="X327" si="3198">IF($Q327=TRUE,M327*$D$1,0)</f>
        <v>0</v>
      </c>
      <c r="Y327" s="9">
        <f t="shared" ref="Y327" si="3199">IF($Q327=TRUE,N327*$D$1,0)</f>
        <v>0</v>
      </c>
      <c r="Z327" s="9">
        <f t="shared" ref="Z327" si="3200">IF($Q327=TRUE,O327*$D$1,0)</f>
        <v>0</v>
      </c>
      <c r="AA327" s="9">
        <f t="shared" ref="AA327" si="3201">IF($Q327=TRUE,P327*$D$1,0)</f>
        <v>0</v>
      </c>
    </row>
    <row r="328" spans="1:27" x14ac:dyDescent="0.2">
      <c r="A328" s="77"/>
      <c r="B328" s="10" t="s">
        <v>28</v>
      </c>
      <c r="C328" s="11" t="s">
        <v>233</v>
      </c>
      <c r="D328" s="12"/>
      <c r="E328" s="25"/>
      <c r="F328" s="25" t="b">
        <v>0</v>
      </c>
      <c r="G328" s="31"/>
      <c r="H328" s="31"/>
      <c r="I328" s="31"/>
      <c r="J328" s="31"/>
      <c r="K328" s="31"/>
      <c r="L328" s="31"/>
      <c r="M328" s="31"/>
      <c r="N328" s="31"/>
      <c r="O328" s="31"/>
      <c r="P328" s="72"/>
      <c r="Q328" s="33" t="b">
        <f t="shared" si="2601"/>
        <v>0</v>
      </c>
      <c r="R328" s="9">
        <f t="shared" ref="R328" si="3202">IF($Q328=TRUE,G328*$D$2,0)</f>
        <v>0</v>
      </c>
      <c r="S328" s="9">
        <f t="shared" ref="S328" si="3203">IF($Q328=TRUE,H328*$D$2,0)</f>
        <v>0</v>
      </c>
      <c r="T328" s="9">
        <f t="shared" ref="T328" si="3204">IF($Q328=TRUE,I328*$D$2,0)</f>
        <v>0</v>
      </c>
      <c r="U328" s="9">
        <f t="shared" ref="U328" si="3205">IF($Q328=TRUE,J328*$D$2,0)</f>
        <v>0</v>
      </c>
      <c r="V328" s="9">
        <f t="shared" ref="V328" si="3206">IF($Q328=TRUE,K328*$D$2,0)</f>
        <v>0</v>
      </c>
      <c r="W328" s="9">
        <f t="shared" ref="W328" si="3207">IF($Q328=TRUE,L328*$D$2,0)</f>
        <v>0</v>
      </c>
      <c r="X328" s="9">
        <f t="shared" ref="X328" si="3208">IF($Q328=TRUE,M328*$D$2,0)</f>
        <v>0</v>
      </c>
      <c r="Y328" s="9">
        <f t="shared" ref="Y328" si="3209">IF($Q328=TRUE,N328*$D$2,0)</f>
        <v>0</v>
      </c>
      <c r="Z328" s="9">
        <f t="shared" ref="Z328" si="3210">IF($Q328=TRUE,O328*$D$2,0)</f>
        <v>0</v>
      </c>
      <c r="AA328" s="9">
        <f t="shared" ref="AA328" si="3211">IF($Q328=TRUE,P328*$D$2,0)</f>
        <v>0</v>
      </c>
    </row>
    <row r="329" spans="1:27" x14ac:dyDescent="0.2">
      <c r="A329" s="77"/>
      <c r="B329" s="6" t="s">
        <v>23</v>
      </c>
      <c r="C329" s="7" t="s">
        <v>234</v>
      </c>
      <c r="D329" s="8"/>
      <c r="E329" s="8"/>
      <c r="F329" s="8" t="b">
        <v>0</v>
      </c>
      <c r="G329" s="31"/>
      <c r="H329" s="31"/>
      <c r="I329" s="31"/>
      <c r="J329" s="31"/>
      <c r="K329" s="31"/>
      <c r="L329" s="31"/>
      <c r="M329" s="31"/>
      <c r="N329" s="31"/>
      <c r="O329" s="31"/>
      <c r="P329" s="72"/>
      <c r="Q329" s="32" t="b">
        <f t="shared" si="2590"/>
        <v>0</v>
      </c>
      <c r="R329" s="9">
        <f t="shared" ref="R329" si="3212">IF($Q329=TRUE,G329*$D$1,0)</f>
        <v>0</v>
      </c>
      <c r="S329" s="9">
        <f t="shared" ref="S329" si="3213">IF($Q329=TRUE,H329*$D$1,0)</f>
        <v>0</v>
      </c>
      <c r="T329" s="9">
        <f t="shared" ref="T329" si="3214">IF($Q329=TRUE,I329*$D$1,0)</f>
        <v>0</v>
      </c>
      <c r="U329" s="9">
        <f t="shared" ref="U329" si="3215">IF($Q329=TRUE,J329*$D$1,0)</f>
        <v>0</v>
      </c>
      <c r="V329" s="9">
        <f t="shared" ref="V329" si="3216">IF($Q329=TRUE,K329*$D$1,0)</f>
        <v>0</v>
      </c>
      <c r="W329" s="9">
        <f t="shared" ref="W329" si="3217">IF($Q329=TRUE,L329*$D$1,0)</f>
        <v>0</v>
      </c>
      <c r="X329" s="9">
        <f t="shared" ref="X329" si="3218">IF($Q329=TRUE,M329*$D$1,0)</f>
        <v>0</v>
      </c>
      <c r="Y329" s="9">
        <f t="shared" ref="Y329" si="3219">IF($Q329=TRUE,N329*$D$1,0)</f>
        <v>0</v>
      </c>
      <c r="Z329" s="9">
        <f t="shared" ref="Z329" si="3220">IF($Q329=TRUE,O329*$D$1,0)</f>
        <v>0</v>
      </c>
      <c r="AA329" s="9">
        <f t="shared" ref="AA329" si="3221">IF($Q329=TRUE,P329*$D$1,0)</f>
        <v>0</v>
      </c>
    </row>
    <row r="330" spans="1:27" x14ac:dyDescent="0.2">
      <c r="A330" s="77"/>
      <c r="B330" s="10" t="s">
        <v>28</v>
      </c>
      <c r="C330" s="11" t="s">
        <v>234</v>
      </c>
      <c r="D330" s="12"/>
      <c r="E330" s="25"/>
      <c r="F330" s="25" t="b">
        <v>0</v>
      </c>
      <c r="G330" s="31"/>
      <c r="H330" s="31"/>
      <c r="I330" s="31"/>
      <c r="J330" s="31"/>
      <c r="K330" s="31"/>
      <c r="L330" s="31"/>
      <c r="M330" s="31"/>
      <c r="N330" s="31"/>
      <c r="O330" s="31"/>
      <c r="P330" s="72"/>
      <c r="Q330" s="33" t="b">
        <f t="shared" si="2601"/>
        <v>0</v>
      </c>
      <c r="R330" s="9">
        <f t="shared" ref="R330" si="3222">IF($Q330=TRUE,G330*$D$2,0)</f>
        <v>0</v>
      </c>
      <c r="S330" s="9">
        <f t="shared" ref="S330" si="3223">IF($Q330=TRUE,H330*$D$2,0)</f>
        <v>0</v>
      </c>
      <c r="T330" s="9">
        <f t="shared" ref="T330" si="3224">IF($Q330=TRUE,I330*$D$2,0)</f>
        <v>0</v>
      </c>
      <c r="U330" s="9">
        <f t="shared" ref="U330" si="3225">IF($Q330=TRUE,J330*$D$2,0)</f>
        <v>0</v>
      </c>
      <c r="V330" s="9">
        <f t="shared" ref="V330" si="3226">IF($Q330=TRUE,K330*$D$2,0)</f>
        <v>0</v>
      </c>
      <c r="W330" s="9">
        <f t="shared" ref="W330" si="3227">IF($Q330=TRUE,L330*$D$2,0)</f>
        <v>0</v>
      </c>
      <c r="X330" s="9">
        <f t="shared" ref="X330" si="3228">IF($Q330=TRUE,M330*$D$2,0)</f>
        <v>0</v>
      </c>
      <c r="Y330" s="9">
        <f t="shared" ref="Y330" si="3229">IF($Q330=TRUE,N330*$D$2,0)</f>
        <v>0</v>
      </c>
      <c r="Z330" s="9">
        <f t="shared" ref="Z330" si="3230">IF($Q330=TRUE,O330*$D$2,0)</f>
        <v>0</v>
      </c>
      <c r="AA330" s="9">
        <f t="shared" ref="AA330" si="3231">IF($Q330=TRUE,P330*$D$2,0)</f>
        <v>0</v>
      </c>
    </row>
    <row r="331" spans="1:27" x14ac:dyDescent="0.2">
      <c r="A331" s="77"/>
      <c r="B331" s="6" t="s">
        <v>23</v>
      </c>
      <c r="C331" s="7" t="s">
        <v>235</v>
      </c>
      <c r="D331" s="8"/>
      <c r="E331" s="8"/>
      <c r="F331" s="8" t="b">
        <v>0</v>
      </c>
      <c r="G331" s="31"/>
      <c r="H331" s="31"/>
      <c r="I331" s="31"/>
      <c r="J331" s="31"/>
      <c r="K331" s="31"/>
      <c r="L331" s="31"/>
      <c r="M331" s="31"/>
      <c r="N331" s="31">
        <v>80000</v>
      </c>
      <c r="O331" s="31"/>
      <c r="P331" s="72"/>
      <c r="Q331" s="32" t="b">
        <f t="shared" ref="Q331:Q353" si="3232">AND($D$1&gt;0,F331=TRUE)</f>
        <v>0</v>
      </c>
      <c r="R331" s="9">
        <f t="shared" ref="R331" si="3233">IF($Q331=TRUE,G331*$D$1,0)</f>
        <v>0</v>
      </c>
      <c r="S331" s="9">
        <f t="shared" ref="S331" si="3234">IF($Q331=TRUE,H331*$D$1,0)</f>
        <v>0</v>
      </c>
      <c r="T331" s="9">
        <f t="shared" ref="T331" si="3235">IF($Q331=TRUE,I331*$D$1,0)</f>
        <v>0</v>
      </c>
      <c r="U331" s="9">
        <f t="shared" ref="U331" si="3236">IF($Q331=TRUE,J331*$D$1,0)</f>
        <v>0</v>
      </c>
      <c r="V331" s="9">
        <f t="shared" ref="V331" si="3237">IF($Q331=TRUE,K331*$D$1,0)</f>
        <v>0</v>
      </c>
      <c r="W331" s="9">
        <f t="shared" ref="W331" si="3238">IF($Q331=TRUE,L331*$D$1,0)</f>
        <v>0</v>
      </c>
      <c r="X331" s="9">
        <f t="shared" ref="X331" si="3239">IF($Q331=TRUE,M331*$D$1,0)</f>
        <v>0</v>
      </c>
      <c r="Y331" s="9">
        <f t="shared" ref="Y331" si="3240">IF($Q331=TRUE,N331*$D$1,0)</f>
        <v>0</v>
      </c>
      <c r="Z331" s="9">
        <f t="shared" ref="Z331" si="3241">IF($Q331=TRUE,O331*$D$1,0)</f>
        <v>0</v>
      </c>
      <c r="AA331" s="9">
        <f t="shared" ref="AA331" si="3242">IF($Q331=TRUE,P331*$D$1,0)</f>
        <v>0</v>
      </c>
    </row>
    <row r="332" spans="1:27" x14ac:dyDescent="0.2">
      <c r="A332" s="77"/>
      <c r="B332" s="10" t="s">
        <v>28</v>
      </c>
      <c r="C332" s="11" t="s">
        <v>235</v>
      </c>
      <c r="D332" s="12"/>
      <c r="E332" s="25"/>
      <c r="F332" s="25" t="b">
        <v>0</v>
      </c>
      <c r="G332" s="31"/>
      <c r="H332" s="31"/>
      <c r="I332" s="31"/>
      <c r="J332" s="31"/>
      <c r="K332" s="31"/>
      <c r="L332" s="31"/>
      <c r="M332" s="31"/>
      <c r="N332" s="31">
        <v>80000</v>
      </c>
      <c r="O332" s="31"/>
      <c r="P332" s="72"/>
      <c r="Q332" s="33" t="b">
        <f t="shared" ref="Q332:Q354" si="3243">AND($D$2&gt;0,F332=TRUE)</f>
        <v>0</v>
      </c>
      <c r="R332" s="9">
        <f t="shared" ref="R332" si="3244">IF($Q332=TRUE,G332*$D$2,0)</f>
        <v>0</v>
      </c>
      <c r="S332" s="9">
        <f t="shared" ref="S332" si="3245">IF($Q332=TRUE,H332*$D$2,0)</f>
        <v>0</v>
      </c>
      <c r="T332" s="9">
        <f t="shared" ref="T332" si="3246">IF($Q332=TRUE,I332*$D$2,0)</f>
        <v>0</v>
      </c>
      <c r="U332" s="9">
        <f t="shared" ref="U332" si="3247">IF($Q332=TRUE,J332*$D$2,0)</f>
        <v>0</v>
      </c>
      <c r="V332" s="9">
        <f t="shared" ref="V332" si="3248">IF($Q332=TRUE,K332*$D$2,0)</f>
        <v>0</v>
      </c>
      <c r="W332" s="9">
        <f t="shared" ref="W332" si="3249">IF($Q332=TRUE,L332*$D$2,0)</f>
        <v>0</v>
      </c>
      <c r="X332" s="9">
        <f t="shared" ref="X332" si="3250">IF($Q332=TRUE,M332*$D$2,0)</f>
        <v>0</v>
      </c>
      <c r="Y332" s="9">
        <f t="shared" ref="Y332" si="3251">IF($Q332=TRUE,N332*$D$2,0)</f>
        <v>0</v>
      </c>
      <c r="Z332" s="9">
        <f t="shared" ref="Z332" si="3252">IF($Q332=TRUE,O332*$D$2,0)</f>
        <v>0</v>
      </c>
      <c r="AA332" s="9">
        <f t="shared" ref="AA332" si="3253">IF($Q332=TRUE,P332*$D$2,0)</f>
        <v>0</v>
      </c>
    </row>
    <row r="333" spans="1:27" x14ac:dyDescent="0.2">
      <c r="A333" s="77"/>
      <c r="B333" s="6" t="s">
        <v>23</v>
      </c>
      <c r="C333" s="7" t="s">
        <v>236</v>
      </c>
      <c r="D333" s="8"/>
      <c r="E333" s="8"/>
      <c r="F333" s="8" t="b">
        <v>0</v>
      </c>
      <c r="G333" s="31"/>
      <c r="H333" s="31"/>
      <c r="I333" s="31"/>
      <c r="J333" s="31"/>
      <c r="K333" s="31"/>
      <c r="L333" s="31"/>
      <c r="M333" s="31"/>
      <c r="N333" s="31"/>
      <c r="O333" s="31"/>
      <c r="P333" s="72"/>
      <c r="Q333" s="32" t="b">
        <f t="shared" si="3232"/>
        <v>0</v>
      </c>
      <c r="R333" s="9">
        <f t="shared" ref="R333" si="3254">IF($Q333=TRUE,G333*$D$1,0)</f>
        <v>0</v>
      </c>
      <c r="S333" s="9">
        <f t="shared" ref="S333" si="3255">IF($Q333=TRUE,H333*$D$1,0)</f>
        <v>0</v>
      </c>
      <c r="T333" s="9">
        <f t="shared" ref="T333" si="3256">IF($Q333=TRUE,I333*$D$1,0)</f>
        <v>0</v>
      </c>
      <c r="U333" s="9">
        <f t="shared" ref="U333" si="3257">IF($Q333=TRUE,J333*$D$1,0)</f>
        <v>0</v>
      </c>
      <c r="V333" s="9">
        <f t="shared" ref="V333" si="3258">IF($Q333=TRUE,K333*$D$1,0)</f>
        <v>0</v>
      </c>
      <c r="W333" s="9">
        <f t="shared" ref="W333" si="3259">IF($Q333=TRUE,L333*$D$1,0)</f>
        <v>0</v>
      </c>
      <c r="X333" s="9">
        <f t="shared" ref="X333" si="3260">IF($Q333=TRUE,M333*$D$1,0)</f>
        <v>0</v>
      </c>
      <c r="Y333" s="9">
        <f t="shared" ref="Y333" si="3261">IF($Q333=TRUE,N333*$D$1,0)</f>
        <v>0</v>
      </c>
      <c r="Z333" s="9">
        <f t="shared" ref="Z333" si="3262">IF($Q333=TRUE,O333*$D$1,0)</f>
        <v>0</v>
      </c>
      <c r="AA333" s="9">
        <f t="shared" ref="AA333" si="3263">IF($Q333=TRUE,P333*$D$1,0)</f>
        <v>0</v>
      </c>
    </row>
    <row r="334" spans="1:27" x14ac:dyDescent="0.2">
      <c r="A334" s="77"/>
      <c r="B334" s="10" t="s">
        <v>28</v>
      </c>
      <c r="C334" s="11" t="s">
        <v>236</v>
      </c>
      <c r="D334" s="12"/>
      <c r="E334" s="25"/>
      <c r="F334" s="25" t="b">
        <v>0</v>
      </c>
      <c r="G334" s="31"/>
      <c r="H334" s="31"/>
      <c r="I334" s="31"/>
      <c r="J334" s="31"/>
      <c r="K334" s="31"/>
      <c r="L334" s="31"/>
      <c r="M334" s="31"/>
      <c r="N334" s="31"/>
      <c r="O334" s="31"/>
      <c r="P334" s="72"/>
      <c r="Q334" s="33" t="b">
        <f t="shared" si="3243"/>
        <v>0</v>
      </c>
      <c r="R334" s="9">
        <f t="shared" ref="R334" si="3264">IF($Q334=TRUE,G334*$D$2,0)</f>
        <v>0</v>
      </c>
      <c r="S334" s="9">
        <f t="shared" ref="S334" si="3265">IF($Q334=TRUE,H334*$D$2,0)</f>
        <v>0</v>
      </c>
      <c r="T334" s="9">
        <f t="shared" ref="T334" si="3266">IF($Q334=TRUE,I334*$D$2,0)</f>
        <v>0</v>
      </c>
      <c r="U334" s="9">
        <f t="shared" ref="U334" si="3267">IF($Q334=TRUE,J334*$D$2,0)</f>
        <v>0</v>
      </c>
      <c r="V334" s="9">
        <f t="shared" ref="V334" si="3268">IF($Q334=TRUE,K334*$D$2,0)</f>
        <v>0</v>
      </c>
      <c r="W334" s="9">
        <f t="shared" ref="W334" si="3269">IF($Q334=TRUE,L334*$D$2,0)</f>
        <v>0</v>
      </c>
      <c r="X334" s="9">
        <f t="shared" ref="X334" si="3270">IF($Q334=TRUE,M334*$D$2,0)</f>
        <v>0</v>
      </c>
      <c r="Y334" s="9">
        <f t="shared" ref="Y334" si="3271">IF($Q334=TRUE,N334*$D$2,0)</f>
        <v>0</v>
      </c>
      <c r="Z334" s="9">
        <f t="shared" ref="Z334" si="3272">IF($Q334=TRUE,O334*$D$2,0)</f>
        <v>0</v>
      </c>
      <c r="AA334" s="9">
        <f t="shared" ref="AA334" si="3273">IF($Q334=TRUE,P334*$D$2,0)</f>
        <v>0</v>
      </c>
    </row>
    <row r="335" spans="1:27" x14ac:dyDescent="0.2">
      <c r="A335" s="77"/>
      <c r="B335" s="6" t="s">
        <v>23</v>
      </c>
      <c r="C335" s="7" t="s">
        <v>237</v>
      </c>
      <c r="D335" s="8"/>
      <c r="E335" s="8"/>
      <c r="F335" s="8" t="b">
        <v>0</v>
      </c>
      <c r="G335" s="31"/>
      <c r="H335" s="31"/>
      <c r="I335" s="31"/>
      <c r="J335" s="31"/>
      <c r="K335" s="31"/>
      <c r="L335" s="31"/>
      <c r="M335" s="31"/>
      <c r="N335" s="31"/>
      <c r="O335" s="31"/>
      <c r="P335" s="72"/>
      <c r="Q335" s="32" t="b">
        <f t="shared" si="3232"/>
        <v>0</v>
      </c>
      <c r="R335" s="9">
        <f t="shared" ref="R335" si="3274">IF($Q335=TRUE,G335*$D$1,0)</f>
        <v>0</v>
      </c>
      <c r="S335" s="9">
        <f t="shared" ref="S335" si="3275">IF($Q335=TRUE,H335*$D$1,0)</f>
        <v>0</v>
      </c>
      <c r="T335" s="9">
        <f t="shared" ref="T335" si="3276">IF($Q335=TRUE,I335*$D$1,0)</f>
        <v>0</v>
      </c>
      <c r="U335" s="9">
        <f t="shared" ref="U335" si="3277">IF($Q335=TRUE,J335*$D$1,0)</f>
        <v>0</v>
      </c>
      <c r="V335" s="9">
        <f t="shared" ref="V335" si="3278">IF($Q335=TRUE,K335*$D$1,0)</f>
        <v>0</v>
      </c>
      <c r="W335" s="9">
        <f t="shared" ref="W335" si="3279">IF($Q335=TRUE,L335*$D$1,0)</f>
        <v>0</v>
      </c>
      <c r="X335" s="9">
        <f t="shared" ref="X335" si="3280">IF($Q335=TRUE,M335*$D$1,0)</f>
        <v>0</v>
      </c>
      <c r="Y335" s="9">
        <f t="shared" ref="Y335" si="3281">IF($Q335=TRUE,N335*$D$1,0)</f>
        <v>0</v>
      </c>
      <c r="Z335" s="9">
        <f t="shared" ref="Z335" si="3282">IF($Q335=TRUE,O335*$D$1,0)</f>
        <v>0</v>
      </c>
      <c r="AA335" s="9">
        <f t="shared" ref="AA335" si="3283">IF($Q335=TRUE,P335*$D$1,0)</f>
        <v>0</v>
      </c>
    </row>
    <row r="336" spans="1:27" x14ac:dyDescent="0.2">
      <c r="A336" s="77"/>
      <c r="B336" s="10" t="s">
        <v>28</v>
      </c>
      <c r="C336" s="11" t="s">
        <v>237</v>
      </c>
      <c r="D336" s="12"/>
      <c r="E336" s="25"/>
      <c r="F336" s="25" t="b">
        <v>0</v>
      </c>
      <c r="G336" s="31"/>
      <c r="H336" s="31"/>
      <c r="I336" s="31"/>
      <c r="J336" s="31"/>
      <c r="K336" s="31"/>
      <c r="L336" s="31"/>
      <c r="M336" s="31"/>
      <c r="N336" s="31"/>
      <c r="O336" s="31"/>
      <c r="P336" s="72"/>
      <c r="Q336" s="33" t="b">
        <f t="shared" si="3243"/>
        <v>0</v>
      </c>
      <c r="R336" s="9">
        <f t="shared" ref="R336" si="3284">IF($Q336=TRUE,G336*$D$2,0)</f>
        <v>0</v>
      </c>
      <c r="S336" s="9">
        <f t="shared" ref="S336" si="3285">IF($Q336=TRUE,H336*$D$2,0)</f>
        <v>0</v>
      </c>
      <c r="T336" s="9">
        <f t="shared" ref="T336" si="3286">IF($Q336=TRUE,I336*$D$2,0)</f>
        <v>0</v>
      </c>
      <c r="U336" s="9">
        <f t="shared" ref="U336" si="3287">IF($Q336=TRUE,J336*$D$2,0)</f>
        <v>0</v>
      </c>
      <c r="V336" s="9">
        <f t="shared" ref="V336" si="3288">IF($Q336=TRUE,K336*$D$2,0)</f>
        <v>0</v>
      </c>
      <c r="W336" s="9">
        <f t="shared" ref="W336" si="3289">IF($Q336=TRUE,L336*$D$2,0)</f>
        <v>0</v>
      </c>
      <c r="X336" s="9">
        <f t="shared" ref="X336" si="3290">IF($Q336=TRUE,M336*$D$2,0)</f>
        <v>0</v>
      </c>
      <c r="Y336" s="9">
        <f t="shared" ref="Y336" si="3291">IF($Q336=TRUE,N336*$D$2,0)</f>
        <v>0</v>
      </c>
      <c r="Z336" s="9">
        <f t="shared" ref="Z336" si="3292">IF($Q336=TRUE,O336*$D$2,0)</f>
        <v>0</v>
      </c>
      <c r="AA336" s="9">
        <f t="shared" ref="AA336" si="3293">IF($Q336=TRUE,P336*$D$2,0)</f>
        <v>0</v>
      </c>
    </row>
    <row r="337" spans="1:27" x14ac:dyDescent="0.2">
      <c r="A337" s="77"/>
      <c r="B337" s="6" t="s">
        <v>23</v>
      </c>
      <c r="C337" s="7" t="s">
        <v>238</v>
      </c>
      <c r="D337" s="8"/>
      <c r="E337" s="8"/>
      <c r="F337" s="8" t="b">
        <v>0</v>
      </c>
      <c r="G337" s="31"/>
      <c r="H337" s="31"/>
      <c r="I337" s="31"/>
      <c r="J337" s="31"/>
      <c r="K337" s="31"/>
      <c r="L337" s="31"/>
      <c r="M337" s="31"/>
      <c r="N337" s="31"/>
      <c r="O337" s="31"/>
      <c r="P337" s="72"/>
      <c r="Q337" s="32" t="b">
        <f t="shared" si="3232"/>
        <v>0</v>
      </c>
      <c r="R337" s="9">
        <f t="shared" ref="R337" si="3294">IF($Q337=TRUE,G337*$D$1,0)</f>
        <v>0</v>
      </c>
      <c r="S337" s="9">
        <f t="shared" ref="S337" si="3295">IF($Q337=TRUE,H337*$D$1,0)</f>
        <v>0</v>
      </c>
      <c r="T337" s="9">
        <f t="shared" ref="T337" si="3296">IF($Q337=TRUE,I337*$D$1,0)</f>
        <v>0</v>
      </c>
      <c r="U337" s="9">
        <f t="shared" ref="U337" si="3297">IF($Q337=TRUE,J337*$D$1,0)</f>
        <v>0</v>
      </c>
      <c r="V337" s="9">
        <f t="shared" ref="V337" si="3298">IF($Q337=TRUE,K337*$D$1,0)</f>
        <v>0</v>
      </c>
      <c r="W337" s="9">
        <f t="shared" ref="W337" si="3299">IF($Q337=TRUE,L337*$D$1,0)</f>
        <v>0</v>
      </c>
      <c r="X337" s="9">
        <f t="shared" ref="X337" si="3300">IF($Q337=TRUE,M337*$D$1,0)</f>
        <v>0</v>
      </c>
      <c r="Y337" s="9">
        <f t="shared" ref="Y337" si="3301">IF($Q337=TRUE,N337*$D$1,0)</f>
        <v>0</v>
      </c>
      <c r="Z337" s="9">
        <f t="shared" ref="Z337" si="3302">IF($Q337=TRUE,O337*$D$1,0)</f>
        <v>0</v>
      </c>
      <c r="AA337" s="9">
        <f t="shared" ref="AA337" si="3303">IF($Q337=TRUE,P337*$D$1,0)</f>
        <v>0</v>
      </c>
    </row>
    <row r="338" spans="1:27" x14ac:dyDescent="0.2">
      <c r="A338" s="77"/>
      <c r="B338" s="10" t="s">
        <v>28</v>
      </c>
      <c r="C338" s="11" t="s">
        <v>238</v>
      </c>
      <c r="D338" s="12"/>
      <c r="E338" s="25"/>
      <c r="F338" s="25" t="b">
        <v>0</v>
      </c>
      <c r="G338" s="31"/>
      <c r="H338" s="31"/>
      <c r="I338" s="31"/>
      <c r="J338" s="31"/>
      <c r="K338" s="31"/>
      <c r="L338" s="31"/>
      <c r="M338" s="31"/>
      <c r="N338" s="31"/>
      <c r="O338" s="31"/>
      <c r="P338" s="72"/>
      <c r="Q338" s="33" t="b">
        <f t="shared" si="3243"/>
        <v>0</v>
      </c>
      <c r="R338" s="9">
        <f t="shared" ref="R338" si="3304">IF($Q338=TRUE,G338*$D$2,0)</f>
        <v>0</v>
      </c>
      <c r="S338" s="9">
        <f t="shared" ref="S338" si="3305">IF($Q338=TRUE,H338*$D$2,0)</f>
        <v>0</v>
      </c>
      <c r="T338" s="9">
        <f t="shared" ref="T338" si="3306">IF($Q338=TRUE,I338*$D$2,0)</f>
        <v>0</v>
      </c>
      <c r="U338" s="9">
        <f t="shared" ref="U338" si="3307">IF($Q338=TRUE,J338*$D$2,0)</f>
        <v>0</v>
      </c>
      <c r="V338" s="9">
        <f t="shared" ref="V338" si="3308">IF($Q338=TRUE,K338*$D$2,0)</f>
        <v>0</v>
      </c>
      <c r="W338" s="9">
        <f t="shared" ref="W338" si="3309">IF($Q338=TRUE,L338*$D$2,0)</f>
        <v>0</v>
      </c>
      <c r="X338" s="9">
        <f t="shared" ref="X338" si="3310">IF($Q338=TRUE,M338*$D$2,0)</f>
        <v>0</v>
      </c>
      <c r="Y338" s="9">
        <f t="shared" ref="Y338" si="3311">IF($Q338=TRUE,N338*$D$2,0)</f>
        <v>0</v>
      </c>
      <c r="Z338" s="9">
        <f t="shared" ref="Z338" si="3312">IF($Q338=TRUE,O338*$D$2,0)</f>
        <v>0</v>
      </c>
      <c r="AA338" s="9">
        <f t="shared" ref="AA338" si="3313">IF($Q338=TRUE,P338*$D$2,0)</f>
        <v>0</v>
      </c>
    </row>
    <row r="339" spans="1:27" x14ac:dyDescent="0.2">
      <c r="A339" s="77"/>
      <c r="B339" s="6" t="s">
        <v>23</v>
      </c>
      <c r="C339" s="7" t="s">
        <v>239</v>
      </c>
      <c r="D339" s="8"/>
      <c r="E339" s="8"/>
      <c r="F339" s="8" t="b">
        <v>0</v>
      </c>
      <c r="G339" s="31"/>
      <c r="H339" s="31"/>
      <c r="I339" s="31"/>
      <c r="J339" s="31"/>
      <c r="K339" s="31"/>
      <c r="L339" s="31"/>
      <c r="M339" s="31"/>
      <c r="N339" s="31"/>
      <c r="O339" s="31"/>
      <c r="P339" s="72"/>
      <c r="Q339" s="32" t="b">
        <f t="shared" si="3232"/>
        <v>0</v>
      </c>
      <c r="R339" s="9">
        <f t="shared" ref="R339" si="3314">IF($Q339=TRUE,G339*$D$1,0)</f>
        <v>0</v>
      </c>
      <c r="S339" s="9">
        <f t="shared" ref="S339" si="3315">IF($Q339=TRUE,H339*$D$1,0)</f>
        <v>0</v>
      </c>
      <c r="T339" s="9">
        <f t="shared" ref="T339" si="3316">IF($Q339=TRUE,I339*$D$1,0)</f>
        <v>0</v>
      </c>
      <c r="U339" s="9">
        <f t="shared" ref="U339" si="3317">IF($Q339=TRUE,J339*$D$1,0)</f>
        <v>0</v>
      </c>
      <c r="V339" s="9">
        <f t="shared" ref="V339" si="3318">IF($Q339=TRUE,K339*$D$1,0)</f>
        <v>0</v>
      </c>
      <c r="W339" s="9">
        <f t="shared" ref="W339" si="3319">IF($Q339=TRUE,L339*$D$1,0)</f>
        <v>0</v>
      </c>
      <c r="X339" s="9">
        <f t="shared" ref="X339" si="3320">IF($Q339=TRUE,M339*$D$1,0)</f>
        <v>0</v>
      </c>
      <c r="Y339" s="9">
        <f t="shared" ref="Y339" si="3321">IF($Q339=TRUE,N339*$D$1,0)</f>
        <v>0</v>
      </c>
      <c r="Z339" s="9">
        <f t="shared" ref="Z339" si="3322">IF($Q339=TRUE,O339*$D$1,0)</f>
        <v>0</v>
      </c>
      <c r="AA339" s="9">
        <f t="shared" ref="AA339" si="3323">IF($Q339=TRUE,P339*$D$1,0)</f>
        <v>0</v>
      </c>
    </row>
    <row r="340" spans="1:27" x14ac:dyDescent="0.2">
      <c r="A340" s="77"/>
      <c r="B340" s="10" t="s">
        <v>28</v>
      </c>
      <c r="C340" s="11" t="s">
        <v>239</v>
      </c>
      <c r="D340" s="12"/>
      <c r="E340" s="25"/>
      <c r="F340" s="25" t="b">
        <v>0</v>
      </c>
      <c r="G340" s="31"/>
      <c r="H340" s="31"/>
      <c r="I340" s="31"/>
      <c r="J340" s="31"/>
      <c r="K340" s="31"/>
      <c r="L340" s="31"/>
      <c r="M340" s="31"/>
      <c r="N340" s="31"/>
      <c r="O340" s="31"/>
      <c r="P340" s="72"/>
      <c r="Q340" s="33" t="b">
        <f t="shared" si="3243"/>
        <v>0</v>
      </c>
      <c r="R340" s="9">
        <f t="shared" ref="R340" si="3324">IF($Q340=TRUE,G340*$D$2,0)</f>
        <v>0</v>
      </c>
      <c r="S340" s="9">
        <f t="shared" ref="S340" si="3325">IF($Q340=TRUE,H340*$D$2,0)</f>
        <v>0</v>
      </c>
      <c r="T340" s="9">
        <f t="shared" ref="T340" si="3326">IF($Q340=TRUE,I340*$D$2,0)</f>
        <v>0</v>
      </c>
      <c r="U340" s="9">
        <f t="shared" ref="U340" si="3327">IF($Q340=TRUE,J340*$D$2,0)</f>
        <v>0</v>
      </c>
      <c r="V340" s="9">
        <f t="shared" ref="V340" si="3328">IF($Q340=TRUE,K340*$D$2,0)</f>
        <v>0</v>
      </c>
      <c r="W340" s="9">
        <f t="shared" ref="W340" si="3329">IF($Q340=TRUE,L340*$D$2,0)</f>
        <v>0</v>
      </c>
      <c r="X340" s="9">
        <f t="shared" ref="X340" si="3330">IF($Q340=TRUE,M340*$D$2,0)</f>
        <v>0</v>
      </c>
      <c r="Y340" s="9">
        <f t="shared" ref="Y340" si="3331">IF($Q340=TRUE,N340*$D$2,0)</f>
        <v>0</v>
      </c>
      <c r="Z340" s="9">
        <f t="shared" ref="Z340" si="3332">IF($Q340=TRUE,O340*$D$2,0)</f>
        <v>0</v>
      </c>
      <c r="AA340" s="9">
        <f t="shared" ref="AA340" si="3333">IF($Q340=TRUE,P340*$D$2,0)</f>
        <v>0</v>
      </c>
    </row>
    <row r="341" spans="1:27" x14ac:dyDescent="0.2">
      <c r="A341" s="77"/>
      <c r="B341" s="6" t="s">
        <v>23</v>
      </c>
      <c r="C341" s="7" t="s">
        <v>240</v>
      </c>
      <c r="D341" s="8"/>
      <c r="E341" s="8"/>
      <c r="F341" s="8" t="b">
        <v>0</v>
      </c>
      <c r="G341" s="31"/>
      <c r="H341" s="31"/>
      <c r="I341" s="31"/>
      <c r="J341" s="31"/>
      <c r="K341" s="31"/>
      <c r="L341" s="31"/>
      <c r="M341" s="31"/>
      <c r="N341" s="31"/>
      <c r="O341" s="31"/>
      <c r="P341" s="72"/>
      <c r="Q341" s="32" t="b">
        <f t="shared" si="3232"/>
        <v>0</v>
      </c>
      <c r="R341" s="9">
        <f t="shared" ref="R341" si="3334">IF($Q341=TRUE,G341*$D$1,0)</f>
        <v>0</v>
      </c>
      <c r="S341" s="9">
        <f t="shared" ref="S341" si="3335">IF($Q341=TRUE,H341*$D$1,0)</f>
        <v>0</v>
      </c>
      <c r="T341" s="9">
        <f t="shared" ref="T341" si="3336">IF($Q341=TRUE,I341*$D$1,0)</f>
        <v>0</v>
      </c>
      <c r="U341" s="9">
        <f t="shared" ref="U341" si="3337">IF($Q341=TRUE,J341*$D$1,0)</f>
        <v>0</v>
      </c>
      <c r="V341" s="9">
        <f t="shared" ref="V341" si="3338">IF($Q341=TRUE,K341*$D$1,0)</f>
        <v>0</v>
      </c>
      <c r="W341" s="9">
        <f t="shared" ref="W341" si="3339">IF($Q341=TRUE,L341*$D$1,0)</f>
        <v>0</v>
      </c>
      <c r="X341" s="9">
        <f t="shared" ref="X341" si="3340">IF($Q341=TRUE,M341*$D$1,0)</f>
        <v>0</v>
      </c>
      <c r="Y341" s="9">
        <f t="shared" ref="Y341" si="3341">IF($Q341=TRUE,N341*$D$1,0)</f>
        <v>0</v>
      </c>
      <c r="Z341" s="9">
        <f t="shared" ref="Z341" si="3342">IF($Q341=TRUE,O341*$D$1,0)</f>
        <v>0</v>
      </c>
      <c r="AA341" s="9">
        <f t="shared" ref="AA341" si="3343">IF($Q341=TRUE,P341*$D$1,0)</f>
        <v>0</v>
      </c>
    </row>
    <row r="342" spans="1:27" x14ac:dyDescent="0.2">
      <c r="A342" s="77"/>
      <c r="B342" s="10" t="s">
        <v>28</v>
      </c>
      <c r="C342" s="11" t="s">
        <v>240</v>
      </c>
      <c r="D342" s="12"/>
      <c r="E342" s="25"/>
      <c r="F342" s="25" t="b">
        <v>0</v>
      </c>
      <c r="G342" s="31"/>
      <c r="H342" s="31"/>
      <c r="I342" s="31"/>
      <c r="J342" s="31"/>
      <c r="K342" s="31"/>
      <c r="L342" s="31"/>
      <c r="M342" s="31"/>
      <c r="N342" s="31"/>
      <c r="O342" s="31"/>
      <c r="P342" s="72"/>
      <c r="Q342" s="33" t="b">
        <f t="shared" si="3243"/>
        <v>0</v>
      </c>
      <c r="R342" s="9">
        <f t="shared" ref="R342" si="3344">IF($Q342=TRUE,G342*$D$2,0)</f>
        <v>0</v>
      </c>
      <c r="S342" s="9">
        <f t="shared" ref="S342" si="3345">IF($Q342=TRUE,H342*$D$2,0)</f>
        <v>0</v>
      </c>
      <c r="T342" s="9">
        <f t="shared" ref="T342" si="3346">IF($Q342=TRUE,I342*$D$2,0)</f>
        <v>0</v>
      </c>
      <c r="U342" s="9">
        <f t="shared" ref="U342" si="3347">IF($Q342=TRUE,J342*$D$2,0)</f>
        <v>0</v>
      </c>
      <c r="V342" s="9">
        <f t="shared" ref="V342" si="3348">IF($Q342=TRUE,K342*$D$2,0)</f>
        <v>0</v>
      </c>
      <c r="W342" s="9">
        <f t="shared" ref="W342" si="3349">IF($Q342=TRUE,L342*$D$2,0)</f>
        <v>0</v>
      </c>
      <c r="X342" s="9">
        <f t="shared" ref="X342" si="3350">IF($Q342=TRUE,M342*$D$2,0)</f>
        <v>0</v>
      </c>
      <c r="Y342" s="9">
        <f t="shared" ref="Y342" si="3351">IF($Q342=TRUE,N342*$D$2,0)</f>
        <v>0</v>
      </c>
      <c r="Z342" s="9">
        <f t="shared" ref="Z342" si="3352">IF($Q342=TRUE,O342*$D$2,0)</f>
        <v>0</v>
      </c>
      <c r="AA342" s="9">
        <f t="shared" ref="AA342" si="3353">IF($Q342=TRUE,P342*$D$2,0)</f>
        <v>0</v>
      </c>
    </row>
    <row r="343" spans="1:27" x14ac:dyDescent="0.2">
      <c r="A343" s="77"/>
      <c r="B343" s="6" t="s">
        <v>23</v>
      </c>
      <c r="C343" s="7" t="s">
        <v>241</v>
      </c>
      <c r="D343" s="8"/>
      <c r="E343" s="8"/>
      <c r="F343" s="8" t="b">
        <v>0</v>
      </c>
      <c r="G343" s="31"/>
      <c r="H343" s="31"/>
      <c r="I343" s="31"/>
      <c r="J343" s="31"/>
      <c r="K343" s="31"/>
      <c r="L343" s="31"/>
      <c r="M343" s="31"/>
      <c r="N343" s="31">
        <v>25000</v>
      </c>
      <c r="O343" s="31"/>
      <c r="P343" s="72"/>
      <c r="Q343" s="32" t="b">
        <f t="shared" si="3232"/>
        <v>0</v>
      </c>
      <c r="R343" s="9">
        <f t="shared" ref="R343" si="3354">IF($Q343=TRUE,G343*$D$1,0)</f>
        <v>0</v>
      </c>
      <c r="S343" s="9">
        <f t="shared" ref="S343" si="3355">IF($Q343=TRUE,H343*$D$1,0)</f>
        <v>0</v>
      </c>
      <c r="T343" s="9">
        <f t="shared" ref="T343" si="3356">IF($Q343=TRUE,I343*$D$1,0)</f>
        <v>0</v>
      </c>
      <c r="U343" s="9">
        <f t="shared" ref="U343" si="3357">IF($Q343=TRUE,J343*$D$1,0)</f>
        <v>0</v>
      </c>
      <c r="V343" s="9">
        <f t="shared" ref="V343" si="3358">IF($Q343=TRUE,K343*$D$1,0)</f>
        <v>0</v>
      </c>
      <c r="W343" s="9">
        <f t="shared" ref="W343" si="3359">IF($Q343=TRUE,L343*$D$1,0)</f>
        <v>0</v>
      </c>
      <c r="X343" s="9">
        <f t="shared" ref="X343" si="3360">IF($Q343=TRUE,M343*$D$1,0)</f>
        <v>0</v>
      </c>
      <c r="Y343" s="9">
        <f t="shared" ref="Y343" si="3361">IF($Q343=TRUE,N343*$D$1,0)</f>
        <v>0</v>
      </c>
      <c r="Z343" s="9">
        <f t="shared" ref="Z343" si="3362">IF($Q343=TRUE,O343*$D$1,0)</f>
        <v>0</v>
      </c>
      <c r="AA343" s="9">
        <f t="shared" ref="AA343" si="3363">IF($Q343=TRUE,P343*$D$1,0)</f>
        <v>0</v>
      </c>
    </row>
    <row r="344" spans="1:27" x14ac:dyDescent="0.2">
      <c r="A344" s="77"/>
      <c r="B344" s="10" t="s">
        <v>28</v>
      </c>
      <c r="C344" s="11" t="s">
        <v>241</v>
      </c>
      <c r="D344" s="12"/>
      <c r="E344" s="25"/>
      <c r="F344" s="25" t="b">
        <v>0</v>
      </c>
      <c r="G344" s="31"/>
      <c r="H344" s="31"/>
      <c r="I344" s="31"/>
      <c r="J344" s="31"/>
      <c r="K344" s="31"/>
      <c r="L344" s="31"/>
      <c r="M344" s="31"/>
      <c r="N344" s="31">
        <v>25000</v>
      </c>
      <c r="O344" s="31"/>
      <c r="P344" s="72"/>
      <c r="Q344" s="33" t="b">
        <f t="shared" si="3243"/>
        <v>0</v>
      </c>
      <c r="R344" s="9">
        <f t="shared" ref="R344" si="3364">IF($Q344=TRUE,G344*$D$2,0)</f>
        <v>0</v>
      </c>
      <c r="S344" s="9">
        <f t="shared" ref="S344" si="3365">IF($Q344=TRUE,H344*$D$2,0)</f>
        <v>0</v>
      </c>
      <c r="T344" s="9">
        <f t="shared" ref="T344" si="3366">IF($Q344=TRUE,I344*$D$2,0)</f>
        <v>0</v>
      </c>
      <c r="U344" s="9">
        <f t="shared" ref="U344" si="3367">IF($Q344=TRUE,J344*$D$2,0)</f>
        <v>0</v>
      </c>
      <c r="V344" s="9">
        <f t="shared" ref="V344" si="3368">IF($Q344=TRUE,K344*$D$2,0)</f>
        <v>0</v>
      </c>
      <c r="W344" s="9">
        <f t="shared" ref="W344" si="3369">IF($Q344=TRUE,L344*$D$2,0)</f>
        <v>0</v>
      </c>
      <c r="X344" s="9">
        <f t="shared" ref="X344" si="3370">IF($Q344=TRUE,M344*$D$2,0)</f>
        <v>0</v>
      </c>
      <c r="Y344" s="9">
        <f t="shared" ref="Y344" si="3371">IF($Q344=TRUE,N344*$D$2,0)</f>
        <v>0</v>
      </c>
      <c r="Z344" s="9">
        <f t="shared" ref="Z344" si="3372">IF($Q344=TRUE,O344*$D$2,0)</f>
        <v>0</v>
      </c>
      <c r="AA344" s="9">
        <f t="shared" ref="AA344" si="3373">IF($Q344=TRUE,P344*$D$2,0)</f>
        <v>0</v>
      </c>
    </row>
    <row r="345" spans="1:27" x14ac:dyDescent="0.2">
      <c r="A345" s="77"/>
      <c r="B345" s="6" t="s">
        <v>23</v>
      </c>
      <c r="C345" s="7" t="s">
        <v>242</v>
      </c>
      <c r="D345" s="8"/>
      <c r="E345" s="8"/>
      <c r="F345" s="8" t="b">
        <v>0</v>
      </c>
      <c r="G345" s="31"/>
      <c r="H345" s="31"/>
      <c r="I345" s="31"/>
      <c r="J345" s="31"/>
      <c r="K345" s="31"/>
      <c r="L345" s="31"/>
      <c r="M345" s="31"/>
      <c r="N345" s="31">
        <v>21000</v>
      </c>
      <c r="O345" s="31"/>
      <c r="P345" s="72"/>
      <c r="Q345" s="32" t="b">
        <f t="shared" si="3232"/>
        <v>0</v>
      </c>
      <c r="R345" s="9">
        <f t="shared" ref="R345" si="3374">IF($Q345=TRUE,G345*$D$1,0)</f>
        <v>0</v>
      </c>
      <c r="S345" s="9">
        <f t="shared" ref="S345" si="3375">IF($Q345=TRUE,H345*$D$1,0)</f>
        <v>0</v>
      </c>
      <c r="T345" s="9">
        <f t="shared" ref="T345" si="3376">IF($Q345=TRUE,I345*$D$1,0)</f>
        <v>0</v>
      </c>
      <c r="U345" s="9">
        <f t="shared" ref="U345" si="3377">IF($Q345=TRUE,J345*$D$1,0)</f>
        <v>0</v>
      </c>
      <c r="V345" s="9">
        <f t="shared" ref="V345" si="3378">IF($Q345=TRUE,K345*$D$1,0)</f>
        <v>0</v>
      </c>
      <c r="W345" s="9">
        <f t="shared" ref="W345" si="3379">IF($Q345=TRUE,L345*$D$1,0)</f>
        <v>0</v>
      </c>
      <c r="X345" s="9">
        <f t="shared" ref="X345" si="3380">IF($Q345=TRUE,M345*$D$1,0)</f>
        <v>0</v>
      </c>
      <c r="Y345" s="9">
        <f t="shared" ref="Y345" si="3381">IF($Q345=TRUE,N345*$D$1,0)</f>
        <v>0</v>
      </c>
      <c r="Z345" s="9">
        <f t="shared" ref="Z345" si="3382">IF($Q345=TRUE,O345*$D$1,0)</f>
        <v>0</v>
      </c>
      <c r="AA345" s="9">
        <f t="shared" ref="AA345" si="3383">IF($Q345=TRUE,P345*$D$1,0)</f>
        <v>0</v>
      </c>
    </row>
    <row r="346" spans="1:27" x14ac:dyDescent="0.2">
      <c r="A346" s="77"/>
      <c r="B346" s="10" t="s">
        <v>28</v>
      </c>
      <c r="C346" s="11" t="s">
        <v>242</v>
      </c>
      <c r="D346" s="12"/>
      <c r="E346" s="25"/>
      <c r="F346" s="25" t="b">
        <v>0</v>
      </c>
      <c r="G346" s="31"/>
      <c r="H346" s="31"/>
      <c r="I346" s="31"/>
      <c r="J346" s="31"/>
      <c r="K346" s="31"/>
      <c r="L346" s="31"/>
      <c r="M346" s="31"/>
      <c r="N346" s="31">
        <v>21000</v>
      </c>
      <c r="O346" s="31"/>
      <c r="P346" s="72"/>
      <c r="Q346" s="33" t="b">
        <f t="shared" si="3243"/>
        <v>0</v>
      </c>
      <c r="R346" s="9">
        <f t="shared" ref="R346" si="3384">IF($Q346=TRUE,G346*$D$2,0)</f>
        <v>0</v>
      </c>
      <c r="S346" s="9">
        <f t="shared" ref="S346" si="3385">IF($Q346=TRUE,H346*$D$2,0)</f>
        <v>0</v>
      </c>
      <c r="T346" s="9">
        <f t="shared" ref="T346" si="3386">IF($Q346=TRUE,I346*$D$2,0)</f>
        <v>0</v>
      </c>
      <c r="U346" s="9">
        <f t="shared" ref="U346" si="3387">IF($Q346=TRUE,J346*$D$2,0)</f>
        <v>0</v>
      </c>
      <c r="V346" s="9">
        <f t="shared" ref="V346" si="3388">IF($Q346=TRUE,K346*$D$2,0)</f>
        <v>0</v>
      </c>
      <c r="W346" s="9">
        <f t="shared" ref="W346" si="3389">IF($Q346=TRUE,L346*$D$2,0)</f>
        <v>0</v>
      </c>
      <c r="X346" s="9">
        <f t="shared" ref="X346" si="3390">IF($Q346=TRUE,M346*$D$2,0)</f>
        <v>0</v>
      </c>
      <c r="Y346" s="9">
        <f t="shared" ref="Y346" si="3391">IF($Q346=TRUE,N346*$D$2,0)</f>
        <v>0</v>
      </c>
      <c r="Z346" s="9">
        <f t="shared" ref="Z346" si="3392">IF($Q346=TRUE,O346*$D$2,0)</f>
        <v>0</v>
      </c>
      <c r="AA346" s="9">
        <f t="shared" ref="AA346" si="3393">IF($Q346=TRUE,P346*$D$2,0)</f>
        <v>0</v>
      </c>
    </row>
    <row r="347" spans="1:27" x14ac:dyDescent="0.2">
      <c r="A347" s="77"/>
      <c r="B347" s="6" t="s">
        <v>23</v>
      </c>
      <c r="C347" s="7" t="s">
        <v>243</v>
      </c>
      <c r="D347" s="8"/>
      <c r="E347" s="8"/>
      <c r="F347" s="8" t="b">
        <v>0</v>
      </c>
      <c r="G347" s="31"/>
      <c r="H347" s="31"/>
      <c r="I347" s="31"/>
      <c r="J347" s="31"/>
      <c r="K347" s="31"/>
      <c r="L347" s="31"/>
      <c r="M347" s="31"/>
      <c r="N347" s="31">
        <v>15000</v>
      </c>
      <c r="O347" s="31"/>
      <c r="P347" s="72"/>
      <c r="Q347" s="32" t="b">
        <f t="shared" si="3232"/>
        <v>0</v>
      </c>
      <c r="R347" s="9">
        <f t="shared" ref="R347" si="3394">IF($Q347=TRUE,G347*$D$1,0)</f>
        <v>0</v>
      </c>
      <c r="S347" s="9">
        <f t="shared" ref="S347" si="3395">IF($Q347=TRUE,H347*$D$1,0)</f>
        <v>0</v>
      </c>
      <c r="T347" s="9">
        <f t="shared" ref="T347" si="3396">IF($Q347=TRUE,I347*$D$1,0)</f>
        <v>0</v>
      </c>
      <c r="U347" s="9">
        <f t="shared" ref="U347" si="3397">IF($Q347=TRUE,J347*$D$1,0)</f>
        <v>0</v>
      </c>
      <c r="V347" s="9">
        <f t="shared" ref="V347" si="3398">IF($Q347=TRUE,K347*$D$1,0)</f>
        <v>0</v>
      </c>
      <c r="W347" s="9">
        <f t="shared" ref="W347" si="3399">IF($Q347=TRUE,L347*$D$1,0)</f>
        <v>0</v>
      </c>
      <c r="X347" s="9">
        <f t="shared" ref="X347" si="3400">IF($Q347=TRUE,M347*$D$1,0)</f>
        <v>0</v>
      </c>
      <c r="Y347" s="9">
        <f t="shared" ref="Y347" si="3401">IF($Q347=TRUE,N347*$D$1,0)</f>
        <v>0</v>
      </c>
      <c r="Z347" s="9">
        <f t="shared" ref="Z347" si="3402">IF($Q347=TRUE,O347*$D$1,0)</f>
        <v>0</v>
      </c>
      <c r="AA347" s="9">
        <f t="shared" ref="AA347" si="3403">IF($Q347=TRUE,P347*$D$1,0)</f>
        <v>0</v>
      </c>
    </row>
    <row r="348" spans="1:27" x14ac:dyDescent="0.2">
      <c r="A348" s="77"/>
      <c r="B348" s="10" t="s">
        <v>28</v>
      </c>
      <c r="C348" s="11" t="s">
        <v>243</v>
      </c>
      <c r="D348" s="12"/>
      <c r="E348" s="25"/>
      <c r="F348" s="25" t="b">
        <v>0</v>
      </c>
      <c r="G348" s="31"/>
      <c r="H348" s="31"/>
      <c r="I348" s="31"/>
      <c r="J348" s="31"/>
      <c r="K348" s="31"/>
      <c r="L348" s="31"/>
      <c r="M348" s="31"/>
      <c r="N348" s="31">
        <v>15000</v>
      </c>
      <c r="O348" s="31"/>
      <c r="P348" s="72"/>
      <c r="Q348" s="33" t="b">
        <f t="shared" si="3243"/>
        <v>0</v>
      </c>
      <c r="R348" s="9">
        <f t="shared" ref="R348" si="3404">IF($Q348=TRUE,G348*$D$2,0)</f>
        <v>0</v>
      </c>
      <c r="S348" s="9">
        <f t="shared" ref="S348" si="3405">IF($Q348=TRUE,H348*$D$2,0)</f>
        <v>0</v>
      </c>
      <c r="T348" s="9">
        <f t="shared" ref="T348" si="3406">IF($Q348=TRUE,I348*$D$2,0)</f>
        <v>0</v>
      </c>
      <c r="U348" s="9">
        <f t="shared" ref="U348" si="3407">IF($Q348=TRUE,J348*$D$2,0)</f>
        <v>0</v>
      </c>
      <c r="V348" s="9">
        <f t="shared" ref="V348" si="3408">IF($Q348=TRUE,K348*$D$2,0)</f>
        <v>0</v>
      </c>
      <c r="W348" s="9">
        <f t="shared" ref="W348" si="3409">IF($Q348=TRUE,L348*$D$2,0)</f>
        <v>0</v>
      </c>
      <c r="X348" s="9">
        <f t="shared" ref="X348" si="3410">IF($Q348=TRUE,M348*$D$2,0)</f>
        <v>0</v>
      </c>
      <c r="Y348" s="9">
        <f t="shared" ref="Y348" si="3411">IF($Q348=TRUE,N348*$D$2,0)</f>
        <v>0</v>
      </c>
      <c r="Z348" s="9">
        <f t="shared" ref="Z348" si="3412">IF($Q348=TRUE,O348*$D$2,0)</f>
        <v>0</v>
      </c>
      <c r="AA348" s="9">
        <f t="shared" ref="AA348" si="3413">IF($Q348=TRUE,P348*$D$2,0)</f>
        <v>0</v>
      </c>
    </row>
    <row r="349" spans="1:27" x14ac:dyDescent="0.2">
      <c r="A349" s="77"/>
      <c r="B349" s="6" t="s">
        <v>23</v>
      </c>
      <c r="C349" s="7" t="s">
        <v>244</v>
      </c>
      <c r="D349" s="8"/>
      <c r="E349" s="8"/>
      <c r="F349" s="8" t="b">
        <v>0</v>
      </c>
      <c r="G349" s="31"/>
      <c r="H349" s="31"/>
      <c r="I349" s="31"/>
      <c r="J349" s="31"/>
      <c r="K349" s="31"/>
      <c r="L349" s="31"/>
      <c r="M349" s="31"/>
      <c r="N349" s="31">
        <v>9000</v>
      </c>
      <c r="O349" s="31"/>
      <c r="P349" s="72"/>
      <c r="Q349" s="32" t="b">
        <f t="shared" si="3232"/>
        <v>0</v>
      </c>
      <c r="R349" s="9">
        <f t="shared" ref="R349" si="3414">IF($Q349=TRUE,G349*$D$1,0)</f>
        <v>0</v>
      </c>
      <c r="S349" s="9">
        <f t="shared" ref="S349" si="3415">IF($Q349=TRUE,H349*$D$1,0)</f>
        <v>0</v>
      </c>
      <c r="T349" s="9">
        <f t="shared" ref="T349" si="3416">IF($Q349=TRUE,I349*$D$1,0)</f>
        <v>0</v>
      </c>
      <c r="U349" s="9">
        <f t="shared" ref="U349" si="3417">IF($Q349=TRUE,J349*$D$1,0)</f>
        <v>0</v>
      </c>
      <c r="V349" s="9">
        <f t="shared" ref="V349" si="3418">IF($Q349=TRUE,K349*$D$1,0)</f>
        <v>0</v>
      </c>
      <c r="W349" s="9">
        <f t="shared" ref="W349" si="3419">IF($Q349=TRUE,L349*$D$1,0)</f>
        <v>0</v>
      </c>
      <c r="X349" s="9">
        <f t="shared" ref="X349" si="3420">IF($Q349=TRUE,M349*$D$1,0)</f>
        <v>0</v>
      </c>
      <c r="Y349" s="9">
        <f t="shared" ref="Y349" si="3421">IF($Q349=TRUE,N349*$D$1,0)</f>
        <v>0</v>
      </c>
      <c r="Z349" s="9">
        <f t="shared" ref="Z349" si="3422">IF($Q349=TRUE,O349*$D$1,0)</f>
        <v>0</v>
      </c>
      <c r="AA349" s="9">
        <f t="shared" ref="AA349" si="3423">IF($Q349=TRUE,P349*$D$1,0)</f>
        <v>0</v>
      </c>
    </row>
    <row r="350" spans="1:27" x14ac:dyDescent="0.2">
      <c r="A350" s="77"/>
      <c r="B350" s="10" t="s">
        <v>28</v>
      </c>
      <c r="C350" s="11" t="s">
        <v>244</v>
      </c>
      <c r="D350" s="12"/>
      <c r="E350" s="25"/>
      <c r="F350" s="25" t="b">
        <v>0</v>
      </c>
      <c r="G350" s="31"/>
      <c r="H350" s="31"/>
      <c r="I350" s="31"/>
      <c r="J350" s="31"/>
      <c r="K350" s="31"/>
      <c r="L350" s="31"/>
      <c r="M350" s="31"/>
      <c r="N350" s="31">
        <v>9000</v>
      </c>
      <c r="O350" s="31"/>
      <c r="P350" s="72"/>
      <c r="Q350" s="33" t="b">
        <f t="shared" si="3243"/>
        <v>0</v>
      </c>
      <c r="R350" s="9">
        <f t="shared" ref="R350" si="3424">IF($Q350=TRUE,G350*$D$2,0)</f>
        <v>0</v>
      </c>
      <c r="S350" s="9">
        <f t="shared" ref="S350" si="3425">IF($Q350=TRUE,H350*$D$2,0)</f>
        <v>0</v>
      </c>
      <c r="T350" s="9">
        <f t="shared" ref="T350" si="3426">IF($Q350=TRUE,I350*$D$2,0)</f>
        <v>0</v>
      </c>
      <c r="U350" s="9">
        <f t="shared" ref="U350" si="3427">IF($Q350=TRUE,J350*$D$2,0)</f>
        <v>0</v>
      </c>
      <c r="V350" s="9">
        <f t="shared" ref="V350" si="3428">IF($Q350=TRUE,K350*$D$2,0)</f>
        <v>0</v>
      </c>
      <c r="W350" s="9">
        <f t="shared" ref="W350" si="3429">IF($Q350=TRUE,L350*$D$2,0)</f>
        <v>0</v>
      </c>
      <c r="X350" s="9">
        <f t="shared" ref="X350" si="3430">IF($Q350=TRUE,M350*$D$2,0)</f>
        <v>0</v>
      </c>
      <c r="Y350" s="9">
        <f t="shared" ref="Y350" si="3431">IF($Q350=TRUE,N350*$D$2,0)</f>
        <v>0</v>
      </c>
      <c r="Z350" s="9">
        <f t="shared" ref="Z350" si="3432">IF($Q350=TRUE,O350*$D$2,0)</f>
        <v>0</v>
      </c>
      <c r="AA350" s="9">
        <f t="shared" ref="AA350" si="3433">IF($Q350=TRUE,P350*$D$2,0)</f>
        <v>0</v>
      </c>
    </row>
    <row r="351" spans="1:27" x14ac:dyDescent="0.2">
      <c r="A351" s="77"/>
      <c r="B351" s="6" t="s">
        <v>23</v>
      </c>
      <c r="C351" s="7" t="s">
        <v>245</v>
      </c>
      <c r="D351" s="8"/>
      <c r="E351" s="8"/>
      <c r="F351" s="8" t="b">
        <v>0</v>
      </c>
      <c r="G351" s="31"/>
      <c r="H351" s="31"/>
      <c r="I351" s="31"/>
      <c r="J351" s="31"/>
      <c r="K351" s="31"/>
      <c r="L351" s="31"/>
      <c r="M351" s="31"/>
      <c r="N351" s="31">
        <v>2500</v>
      </c>
      <c r="O351" s="31"/>
      <c r="P351" s="72"/>
      <c r="Q351" s="32" t="b">
        <f t="shared" si="3232"/>
        <v>0</v>
      </c>
      <c r="R351" s="9">
        <f t="shared" ref="R351" si="3434">IF($Q351=TRUE,G351*$D$1,0)</f>
        <v>0</v>
      </c>
      <c r="S351" s="9">
        <f t="shared" ref="S351" si="3435">IF($Q351=TRUE,H351*$D$1,0)</f>
        <v>0</v>
      </c>
      <c r="T351" s="9">
        <f t="shared" ref="T351" si="3436">IF($Q351=TRUE,I351*$D$1,0)</f>
        <v>0</v>
      </c>
      <c r="U351" s="9">
        <f t="shared" ref="U351" si="3437">IF($Q351=TRUE,J351*$D$1,0)</f>
        <v>0</v>
      </c>
      <c r="V351" s="9">
        <f t="shared" ref="V351" si="3438">IF($Q351=TRUE,K351*$D$1,0)</f>
        <v>0</v>
      </c>
      <c r="W351" s="9">
        <f t="shared" ref="W351" si="3439">IF($Q351=TRUE,L351*$D$1,0)</f>
        <v>0</v>
      </c>
      <c r="X351" s="9">
        <f t="shared" ref="X351" si="3440">IF($Q351=TRUE,M351*$D$1,0)</f>
        <v>0</v>
      </c>
      <c r="Y351" s="9">
        <f t="shared" ref="Y351" si="3441">IF($Q351=TRUE,N351*$D$1,0)</f>
        <v>0</v>
      </c>
      <c r="Z351" s="9">
        <f t="shared" ref="Z351" si="3442">IF($Q351=TRUE,O351*$D$1,0)</f>
        <v>0</v>
      </c>
      <c r="AA351" s="9">
        <f t="shared" ref="AA351" si="3443">IF($Q351=TRUE,P351*$D$1,0)</f>
        <v>0</v>
      </c>
    </row>
    <row r="352" spans="1:27" x14ac:dyDescent="0.2">
      <c r="A352" s="77"/>
      <c r="B352" s="10" t="s">
        <v>28</v>
      </c>
      <c r="C352" s="11" t="s">
        <v>245</v>
      </c>
      <c r="D352" s="12"/>
      <c r="E352" s="25"/>
      <c r="F352" s="25" t="b">
        <v>0</v>
      </c>
      <c r="G352" s="31"/>
      <c r="H352" s="31"/>
      <c r="I352" s="31"/>
      <c r="J352" s="31"/>
      <c r="K352" s="31"/>
      <c r="L352" s="31"/>
      <c r="M352" s="31"/>
      <c r="N352" s="31">
        <v>2500</v>
      </c>
      <c r="O352" s="31"/>
      <c r="P352" s="72"/>
      <c r="Q352" s="33" t="b">
        <f t="shared" si="3243"/>
        <v>0</v>
      </c>
      <c r="R352" s="9">
        <f t="shared" ref="R352" si="3444">IF($Q352=TRUE,G352*$D$2,0)</f>
        <v>0</v>
      </c>
      <c r="S352" s="9">
        <f t="shared" ref="S352" si="3445">IF($Q352=TRUE,H352*$D$2,0)</f>
        <v>0</v>
      </c>
      <c r="T352" s="9">
        <f t="shared" ref="T352" si="3446">IF($Q352=TRUE,I352*$D$2,0)</f>
        <v>0</v>
      </c>
      <c r="U352" s="9">
        <f t="shared" ref="U352" si="3447">IF($Q352=TRUE,J352*$D$2,0)</f>
        <v>0</v>
      </c>
      <c r="V352" s="9">
        <f t="shared" ref="V352" si="3448">IF($Q352=TRUE,K352*$D$2,0)</f>
        <v>0</v>
      </c>
      <c r="W352" s="9">
        <f t="shared" ref="W352" si="3449">IF($Q352=TRUE,L352*$D$2,0)</f>
        <v>0</v>
      </c>
      <c r="X352" s="9">
        <f t="shared" ref="X352" si="3450">IF($Q352=TRUE,M352*$D$2,0)</f>
        <v>0</v>
      </c>
      <c r="Y352" s="9">
        <f t="shared" ref="Y352" si="3451">IF($Q352=TRUE,N352*$D$2,0)</f>
        <v>0</v>
      </c>
      <c r="Z352" s="9">
        <f t="shared" ref="Z352" si="3452">IF($Q352=TRUE,O352*$D$2,0)</f>
        <v>0</v>
      </c>
      <c r="AA352" s="9">
        <f t="shared" ref="AA352" si="3453">IF($Q352=TRUE,P352*$D$2,0)</f>
        <v>0</v>
      </c>
    </row>
    <row r="353" spans="1:27" x14ac:dyDescent="0.2">
      <c r="A353" s="77"/>
      <c r="B353" s="6" t="s">
        <v>23</v>
      </c>
      <c r="C353" s="7" t="s">
        <v>246</v>
      </c>
      <c r="D353" s="8"/>
      <c r="E353" s="8"/>
      <c r="F353" s="8" t="b">
        <v>0</v>
      </c>
      <c r="G353" s="31"/>
      <c r="H353" s="31"/>
      <c r="I353" s="31"/>
      <c r="J353" s="31"/>
      <c r="K353" s="31"/>
      <c r="L353" s="31"/>
      <c r="M353" s="31"/>
      <c r="N353" s="31">
        <v>20000</v>
      </c>
      <c r="O353" s="31"/>
      <c r="P353" s="72"/>
      <c r="Q353" s="32" t="b">
        <f t="shared" si="3232"/>
        <v>0</v>
      </c>
      <c r="R353" s="9">
        <f t="shared" ref="R353" si="3454">IF($Q353=TRUE,G353*$D$1,0)</f>
        <v>0</v>
      </c>
      <c r="S353" s="9">
        <f t="shared" ref="S353" si="3455">IF($Q353=TRUE,H353*$D$1,0)</f>
        <v>0</v>
      </c>
      <c r="T353" s="9">
        <f t="shared" ref="T353" si="3456">IF($Q353=TRUE,I353*$D$1,0)</f>
        <v>0</v>
      </c>
      <c r="U353" s="9">
        <f t="shared" ref="U353" si="3457">IF($Q353=TRUE,J353*$D$1,0)</f>
        <v>0</v>
      </c>
      <c r="V353" s="9">
        <f t="shared" ref="V353" si="3458">IF($Q353=TRUE,K353*$D$1,0)</f>
        <v>0</v>
      </c>
      <c r="W353" s="9">
        <f t="shared" ref="W353" si="3459">IF($Q353=TRUE,L353*$D$1,0)</f>
        <v>0</v>
      </c>
      <c r="X353" s="9">
        <f t="shared" ref="X353" si="3460">IF($Q353=TRUE,M353*$D$1,0)</f>
        <v>0</v>
      </c>
      <c r="Y353" s="9">
        <f t="shared" ref="Y353" si="3461">IF($Q353=TRUE,N353*$D$1,0)</f>
        <v>0</v>
      </c>
      <c r="Z353" s="9">
        <f t="shared" ref="Z353" si="3462">IF($Q353=TRUE,O353*$D$1,0)</f>
        <v>0</v>
      </c>
      <c r="AA353" s="9">
        <f t="shared" ref="AA353" si="3463">IF($Q353=TRUE,P353*$D$1,0)</f>
        <v>0</v>
      </c>
    </row>
    <row r="354" spans="1:27" ht="13.5" thickBot="1" x14ac:dyDescent="0.25">
      <c r="A354" s="78"/>
      <c r="B354" s="40" t="s">
        <v>28</v>
      </c>
      <c r="C354" s="41" t="s">
        <v>246</v>
      </c>
      <c r="D354" s="42"/>
      <c r="E354" s="43"/>
      <c r="F354" s="43" t="b">
        <v>0</v>
      </c>
      <c r="G354" s="73"/>
      <c r="H354" s="73"/>
      <c r="I354" s="73"/>
      <c r="J354" s="73"/>
      <c r="K354" s="73"/>
      <c r="L354" s="73"/>
      <c r="M354" s="73"/>
      <c r="N354" s="73">
        <v>20000</v>
      </c>
      <c r="O354" s="73"/>
      <c r="P354" s="74"/>
      <c r="Q354" s="33" t="b">
        <f t="shared" si="3243"/>
        <v>0</v>
      </c>
      <c r="R354" s="9">
        <f t="shared" ref="R354" si="3464">IF($Q354=TRUE,G354*$D$2,0)</f>
        <v>0</v>
      </c>
      <c r="S354" s="9">
        <f t="shared" ref="S354" si="3465">IF($Q354=TRUE,H354*$D$2,0)</f>
        <v>0</v>
      </c>
      <c r="T354" s="9">
        <f t="shared" ref="T354" si="3466">IF($Q354=TRUE,I354*$D$2,0)</f>
        <v>0</v>
      </c>
      <c r="U354" s="9">
        <f t="shared" ref="U354" si="3467">IF($Q354=TRUE,J354*$D$2,0)</f>
        <v>0</v>
      </c>
      <c r="V354" s="9">
        <f t="shared" ref="V354" si="3468">IF($Q354=TRUE,K354*$D$2,0)</f>
        <v>0</v>
      </c>
      <c r="W354" s="9">
        <f t="shared" ref="W354" si="3469">IF($Q354=TRUE,L354*$D$2,0)</f>
        <v>0</v>
      </c>
      <c r="X354" s="9">
        <f t="shared" ref="X354" si="3470">IF($Q354=TRUE,M354*$D$2,0)</f>
        <v>0</v>
      </c>
      <c r="Y354" s="9">
        <f t="shared" ref="Y354" si="3471">IF($Q354=TRUE,N354*$D$2,0)</f>
        <v>0</v>
      </c>
      <c r="Z354" s="9">
        <f t="shared" ref="Z354" si="3472">IF($Q354=TRUE,O354*$D$2,0)</f>
        <v>0</v>
      </c>
      <c r="AA354" s="9">
        <f t="shared" ref="AA354" si="3473">IF($Q354=TRUE,P354*$D$2,0)</f>
        <v>0</v>
      </c>
    </row>
    <row r="355" spans="1:27" s="16" customFormat="1" ht="25.5" customHeight="1" x14ac:dyDescent="0.25">
      <c r="B355" s="67"/>
      <c r="C355" s="68" t="s">
        <v>51</v>
      </c>
      <c r="D355" s="67"/>
      <c r="E355" s="67"/>
      <c r="F355" s="67"/>
      <c r="G355" s="69">
        <f>R355</f>
        <v>0</v>
      </c>
      <c r="H355" s="69">
        <f t="shared" ref="H355:P359" si="3474">S355</f>
        <v>20976</v>
      </c>
      <c r="I355" s="69">
        <f t="shared" si="3474"/>
        <v>0</v>
      </c>
      <c r="J355" s="69">
        <f t="shared" si="3474"/>
        <v>65550</v>
      </c>
      <c r="K355" s="69">
        <f t="shared" si="3474"/>
        <v>0</v>
      </c>
      <c r="L355" s="69">
        <f t="shared" si="3474"/>
        <v>0</v>
      </c>
      <c r="M355" s="69">
        <f t="shared" si="3474"/>
        <v>0</v>
      </c>
      <c r="N355" s="69">
        <f t="shared" si="3474"/>
        <v>0</v>
      </c>
      <c r="O355" s="69">
        <f t="shared" si="3474"/>
        <v>0</v>
      </c>
      <c r="P355" s="69">
        <f t="shared" si="3474"/>
        <v>0</v>
      </c>
      <c r="Q355" s="15"/>
      <c r="R355" s="9">
        <f t="shared" ref="R355:AA355" si="3475">SUM(R7:R354)</f>
        <v>0</v>
      </c>
      <c r="S355" s="9">
        <f t="shared" si="3475"/>
        <v>20976</v>
      </c>
      <c r="T355" s="9">
        <f t="shared" si="3475"/>
        <v>0</v>
      </c>
      <c r="U355" s="9">
        <f t="shared" si="3475"/>
        <v>65550</v>
      </c>
      <c r="V355" s="9">
        <f t="shared" si="3475"/>
        <v>0</v>
      </c>
      <c r="W355" s="9">
        <f t="shared" si="3475"/>
        <v>0</v>
      </c>
      <c r="X355" s="9">
        <f t="shared" si="3475"/>
        <v>0</v>
      </c>
      <c r="Y355" s="9">
        <f t="shared" si="3475"/>
        <v>0</v>
      </c>
      <c r="Z355" s="9">
        <f t="shared" si="3475"/>
        <v>0</v>
      </c>
      <c r="AA355" s="9">
        <f t="shared" si="3475"/>
        <v>0</v>
      </c>
    </row>
    <row r="356" spans="1:27" s="16" customFormat="1" ht="25.5" customHeight="1" x14ac:dyDescent="0.25">
      <c r="B356" s="13"/>
      <c r="C356" s="4" t="s">
        <v>52</v>
      </c>
      <c r="D356" s="13"/>
      <c r="E356" s="13"/>
      <c r="F356" s="13"/>
      <c r="G356" s="14">
        <f>R356</f>
        <v>0</v>
      </c>
      <c r="H356" s="14">
        <f t="shared" si="3474"/>
        <v>0</v>
      </c>
      <c r="I356" s="14">
        <f t="shared" si="3474"/>
        <v>0</v>
      </c>
      <c r="J356" s="14">
        <f t="shared" si="3474"/>
        <v>0</v>
      </c>
      <c r="K356" s="14">
        <f t="shared" si="3474"/>
        <v>0</v>
      </c>
      <c r="L356" s="14">
        <f t="shared" si="3474"/>
        <v>0</v>
      </c>
      <c r="M356" s="14">
        <f t="shared" si="3474"/>
        <v>0</v>
      </c>
      <c r="N356" s="14">
        <f t="shared" si="3474"/>
        <v>0</v>
      </c>
      <c r="O356" s="14">
        <f t="shared" si="3474"/>
        <v>0</v>
      </c>
      <c r="P356" s="14">
        <f t="shared" si="3474"/>
        <v>0</v>
      </c>
      <c r="R356" s="22">
        <f t="shared" ref="R356:AA356" si="3476">SUM(R7:R29)</f>
        <v>0</v>
      </c>
      <c r="S356" s="22">
        <f t="shared" si="3476"/>
        <v>0</v>
      </c>
      <c r="T356" s="22">
        <f t="shared" si="3476"/>
        <v>0</v>
      </c>
      <c r="U356" s="22">
        <f t="shared" si="3476"/>
        <v>0</v>
      </c>
      <c r="V356" s="22">
        <f t="shared" si="3476"/>
        <v>0</v>
      </c>
      <c r="W356" s="22">
        <f t="shared" si="3476"/>
        <v>0</v>
      </c>
      <c r="X356" s="22">
        <f t="shared" si="3476"/>
        <v>0</v>
      </c>
      <c r="Y356" s="22">
        <f t="shared" si="3476"/>
        <v>0</v>
      </c>
      <c r="Z356" s="22">
        <f t="shared" si="3476"/>
        <v>0</v>
      </c>
      <c r="AA356" s="22">
        <f t="shared" si="3476"/>
        <v>0</v>
      </c>
    </row>
    <row r="357" spans="1:27" s="16" customFormat="1" ht="25.5" customHeight="1" x14ac:dyDescent="0.25">
      <c r="B357" s="13"/>
      <c r="C357" s="4" t="s">
        <v>53</v>
      </c>
      <c r="D357" s="13"/>
      <c r="E357" s="13"/>
      <c r="F357" s="13"/>
      <c r="G357" s="14">
        <f t="shared" ref="G357:G359" si="3477">R357</f>
        <v>0</v>
      </c>
      <c r="H357" s="14">
        <f t="shared" si="3474"/>
        <v>0</v>
      </c>
      <c r="I357" s="14">
        <f t="shared" si="3474"/>
        <v>0</v>
      </c>
      <c r="J357" s="14">
        <f t="shared" si="3474"/>
        <v>0</v>
      </c>
      <c r="K357" s="14">
        <f t="shared" si="3474"/>
        <v>0</v>
      </c>
      <c r="L357" s="14">
        <f t="shared" si="3474"/>
        <v>0</v>
      </c>
      <c r="M357" s="14">
        <f t="shared" si="3474"/>
        <v>0</v>
      </c>
      <c r="N357" s="14">
        <f t="shared" si="3474"/>
        <v>0</v>
      </c>
      <c r="O357" s="14">
        <f t="shared" si="3474"/>
        <v>0</v>
      </c>
      <c r="P357" s="14">
        <f t="shared" si="3474"/>
        <v>0</v>
      </c>
      <c r="R357" s="22">
        <f t="shared" ref="R357:AA357" si="3478">SUM(R30:R35)</f>
        <v>0</v>
      </c>
      <c r="S357" s="22">
        <f t="shared" si="3478"/>
        <v>0</v>
      </c>
      <c r="T357" s="22">
        <f t="shared" si="3478"/>
        <v>0</v>
      </c>
      <c r="U357" s="22">
        <f t="shared" si="3478"/>
        <v>0</v>
      </c>
      <c r="V357" s="22">
        <f t="shared" si="3478"/>
        <v>0</v>
      </c>
      <c r="W357" s="22">
        <f t="shared" si="3478"/>
        <v>0</v>
      </c>
      <c r="X357" s="22">
        <f t="shared" si="3478"/>
        <v>0</v>
      </c>
      <c r="Y357" s="22">
        <f t="shared" si="3478"/>
        <v>0</v>
      </c>
      <c r="Z357" s="22">
        <f t="shared" si="3478"/>
        <v>0</v>
      </c>
      <c r="AA357" s="22">
        <f t="shared" si="3478"/>
        <v>0</v>
      </c>
    </row>
    <row r="358" spans="1:27" s="16" customFormat="1" ht="25.5" customHeight="1" x14ac:dyDescent="0.25">
      <c r="B358" s="13"/>
      <c r="C358" s="4" t="s">
        <v>54</v>
      </c>
      <c r="D358" s="13"/>
      <c r="E358" s="13"/>
      <c r="F358" s="13"/>
      <c r="G358" s="14">
        <f t="shared" si="3477"/>
        <v>0</v>
      </c>
      <c r="H358" s="14">
        <f t="shared" si="3474"/>
        <v>0</v>
      </c>
      <c r="I358" s="14">
        <f t="shared" si="3474"/>
        <v>0</v>
      </c>
      <c r="J358" s="14">
        <f t="shared" si="3474"/>
        <v>0</v>
      </c>
      <c r="K358" s="14">
        <f t="shared" si="3474"/>
        <v>0</v>
      </c>
      <c r="L358" s="14">
        <f t="shared" si="3474"/>
        <v>0</v>
      </c>
      <c r="M358" s="14">
        <f t="shared" si="3474"/>
        <v>0</v>
      </c>
      <c r="N358" s="14">
        <f t="shared" si="3474"/>
        <v>0</v>
      </c>
      <c r="O358" s="14">
        <f t="shared" si="3474"/>
        <v>0</v>
      </c>
      <c r="P358" s="14">
        <f t="shared" si="3474"/>
        <v>0</v>
      </c>
      <c r="R358" s="22">
        <f t="shared" ref="R358:AA358" si="3479">SUM(R36:R133)</f>
        <v>0</v>
      </c>
      <c r="S358" s="22">
        <f t="shared" si="3479"/>
        <v>0</v>
      </c>
      <c r="T358" s="22">
        <f t="shared" si="3479"/>
        <v>0</v>
      </c>
      <c r="U358" s="22">
        <f t="shared" si="3479"/>
        <v>0</v>
      </c>
      <c r="V358" s="22">
        <f t="shared" si="3479"/>
        <v>0</v>
      </c>
      <c r="W358" s="22">
        <f t="shared" si="3479"/>
        <v>0</v>
      </c>
      <c r="X358" s="22">
        <f t="shared" si="3479"/>
        <v>0</v>
      </c>
      <c r="Y358" s="22">
        <f t="shared" si="3479"/>
        <v>0</v>
      </c>
      <c r="Z358" s="22">
        <f t="shared" si="3479"/>
        <v>0</v>
      </c>
      <c r="AA358" s="22">
        <f t="shared" si="3479"/>
        <v>0</v>
      </c>
    </row>
    <row r="359" spans="1:27" s="16" customFormat="1" ht="25.5" customHeight="1" x14ac:dyDescent="0.25">
      <c r="B359" s="13"/>
      <c r="C359" s="4" t="s">
        <v>55</v>
      </c>
      <c r="D359" s="13"/>
      <c r="E359" s="13"/>
      <c r="F359" s="13"/>
      <c r="G359" s="14">
        <f t="shared" si="3477"/>
        <v>0</v>
      </c>
      <c r="H359" s="14">
        <f t="shared" si="3474"/>
        <v>0</v>
      </c>
      <c r="I359" s="14">
        <f t="shared" si="3474"/>
        <v>0</v>
      </c>
      <c r="J359" s="14">
        <f t="shared" si="3474"/>
        <v>0</v>
      </c>
      <c r="K359" s="14">
        <f t="shared" si="3474"/>
        <v>0</v>
      </c>
      <c r="L359" s="14">
        <f t="shared" si="3474"/>
        <v>0</v>
      </c>
      <c r="M359" s="14">
        <f t="shared" si="3474"/>
        <v>0</v>
      </c>
      <c r="N359" s="14">
        <f t="shared" si="3474"/>
        <v>0</v>
      </c>
      <c r="O359" s="14">
        <f t="shared" si="3474"/>
        <v>0</v>
      </c>
      <c r="P359" s="14">
        <f t="shared" si="3474"/>
        <v>0</v>
      </c>
      <c r="R359" s="22">
        <f t="shared" ref="R359:AA359" si="3480">SUM(R134:R139)</f>
        <v>0</v>
      </c>
      <c r="S359" s="22">
        <f t="shared" si="3480"/>
        <v>0</v>
      </c>
      <c r="T359" s="22">
        <f t="shared" si="3480"/>
        <v>0</v>
      </c>
      <c r="U359" s="22">
        <f t="shared" si="3480"/>
        <v>0</v>
      </c>
      <c r="V359" s="22">
        <f t="shared" si="3480"/>
        <v>0</v>
      </c>
      <c r="W359" s="22">
        <f t="shared" si="3480"/>
        <v>0</v>
      </c>
      <c r="X359" s="22">
        <f t="shared" si="3480"/>
        <v>0</v>
      </c>
      <c r="Y359" s="22">
        <f t="shared" si="3480"/>
        <v>0</v>
      </c>
      <c r="Z359" s="22">
        <f t="shared" si="3480"/>
        <v>0</v>
      </c>
      <c r="AA359" s="22">
        <f t="shared" si="3480"/>
        <v>0</v>
      </c>
    </row>
    <row r="360" spans="1:27" ht="25.5" customHeight="1" x14ac:dyDescent="0.2">
      <c r="G360" s="4" t="s">
        <v>6</v>
      </c>
      <c r="H360" s="4" t="s">
        <v>7</v>
      </c>
      <c r="I360" s="4" t="s">
        <v>8</v>
      </c>
      <c r="J360" s="4" t="s">
        <v>9</v>
      </c>
      <c r="K360" s="4" t="s">
        <v>10</v>
      </c>
      <c r="L360" s="4" t="s">
        <v>11</v>
      </c>
      <c r="M360" s="4" t="s">
        <v>12</v>
      </c>
      <c r="N360" s="4" t="s">
        <v>13</v>
      </c>
      <c r="O360" s="4" t="s">
        <v>14</v>
      </c>
      <c r="P360" s="4" t="s">
        <v>15</v>
      </c>
    </row>
    <row r="361" spans="1:27" hidden="1" x14ac:dyDescent="0.2">
      <c r="G361" s="21">
        <f t="shared" ref="G361:P361" si="3481">1-(G355/$G$362)</f>
        <v>1</v>
      </c>
      <c r="H361" s="21">
        <f t="shared" si="3481"/>
        <v>-1.4242424242424243</v>
      </c>
      <c r="I361" s="21">
        <f t="shared" si="3481"/>
        <v>1</v>
      </c>
      <c r="J361" s="21">
        <f t="shared" si="3481"/>
        <v>-6.5757575757575752</v>
      </c>
      <c r="K361" s="21">
        <f t="shared" si="3481"/>
        <v>1</v>
      </c>
      <c r="L361" s="21">
        <f t="shared" si="3481"/>
        <v>1</v>
      </c>
      <c r="M361" s="21">
        <f t="shared" si="3481"/>
        <v>1</v>
      </c>
      <c r="N361" s="21">
        <f t="shared" si="3481"/>
        <v>1</v>
      </c>
      <c r="O361" s="21">
        <f t="shared" si="3481"/>
        <v>1</v>
      </c>
      <c r="P361" s="21">
        <f t="shared" si="3481"/>
        <v>1</v>
      </c>
    </row>
    <row r="362" spans="1:27" hidden="1" x14ac:dyDescent="0.2">
      <c r="C362" s="1" t="s">
        <v>56</v>
      </c>
      <c r="G362" s="20">
        <f>AVERAGE(G355:P355)</f>
        <v>8652.6</v>
      </c>
    </row>
    <row r="363" spans="1:27" hidden="1" x14ac:dyDescent="0.2">
      <c r="C363" s="1" t="s">
        <v>57</v>
      </c>
      <c r="G363" s="20">
        <f>G362*1.1</f>
        <v>9517.86</v>
      </c>
    </row>
    <row r="364" spans="1:27" hidden="1" x14ac:dyDescent="0.2">
      <c r="C364" s="1" t="s">
        <v>58</v>
      </c>
      <c r="G364" s="20">
        <f>G362*1.2</f>
        <v>10383.120000000001</v>
      </c>
    </row>
    <row r="365" spans="1:27" hidden="1" x14ac:dyDescent="0.2"/>
    <row r="366" spans="1:27" ht="15.75" x14ac:dyDescent="0.25">
      <c r="G366" s="75">
        <f>IF(G355&gt;0,'Consolidado de precios'!G57+'Tecnologías avanzadas'!G355,0)</f>
        <v>0</v>
      </c>
      <c r="H366" s="75">
        <f>IF(H355&gt;0,'Consolidado de precios'!H57+'Tecnologías avanzadas'!H355,0)</f>
        <v>20976</v>
      </c>
      <c r="I366" s="75">
        <f>IF(I355&gt;0,'Consolidado de precios'!I57+'Tecnologías avanzadas'!I355,0)</f>
        <v>0</v>
      </c>
      <c r="J366" s="75">
        <f>IF(J355&gt;0,'Consolidado de precios'!J57+'Tecnologías avanzadas'!J355,0)</f>
        <v>65550</v>
      </c>
      <c r="K366" s="75">
        <f>IF(K355&gt;0,'Consolidado de precios'!K57+'Tecnologías avanzadas'!K355,0)</f>
        <v>0</v>
      </c>
      <c r="L366" s="75">
        <f>IF(L355&gt;0,'Consolidado de precios'!L57+'Tecnologías avanzadas'!L355,0)</f>
        <v>0</v>
      </c>
      <c r="M366" s="75">
        <f>IF(M355&gt;0,'Consolidado de precios'!M57+'Tecnologías avanzadas'!M355,0)</f>
        <v>0</v>
      </c>
      <c r="N366" s="75">
        <f>IF(N355&gt;0,'Consolidado de precios'!N57+'Tecnologías avanzadas'!N355,0)</f>
        <v>0</v>
      </c>
      <c r="O366" s="75">
        <f>IF(O355&gt;0,'Consolidado de precios'!O57+'Tecnologías avanzadas'!O355,0)</f>
        <v>0</v>
      </c>
      <c r="P366" s="75">
        <f>IF(P355&gt;0,'Consolidado de precios'!P57+'Tecnologías avanzadas'!P355,0)</f>
        <v>0</v>
      </c>
    </row>
  </sheetData>
  <mergeCells count="6">
    <mergeCell ref="A319:A354"/>
    <mergeCell ref="A91:A122"/>
    <mergeCell ref="A7:A90"/>
    <mergeCell ref="A123:A176"/>
    <mergeCell ref="A177:A262"/>
    <mergeCell ref="A263:A318"/>
  </mergeCells>
  <conditionalFormatting sqref="G355:P355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56:P35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57:P357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58:P358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59:P359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61:P361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list" allowBlank="1" showInputMessage="1" showErrorMessage="1" sqref="F7:F354" xr:uid="{7B3BEC46-9CBC-433B-B9B8-1ACF30C098F0}">
      <formula1>$AE$1:$AE$2</formula1>
    </dataValidation>
  </dataValidations>
  <pageMargins left="0.7" right="0.7" top="0.75" bottom="0.75" header="0.3" footer="0.3"/>
  <pageSetup paperSize="9" orientation="portrait" r:id="rId1"/>
  <headerFooter>
    <oddFooter>&amp;C_x000D_&amp;1#&amp;"Aptos"&amp;6&amp;K000000 ECP-INFORMACION PUBLICA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defaultSize="0" autoFill="0" autoLine="0" autoPict="0">
                <anchor moveWithCells="1">
                  <from>
                    <xdr:col>4</xdr:col>
                    <xdr:colOff>19050</xdr:colOff>
                    <xdr:row>6</xdr:row>
                    <xdr:rowOff>9525</xdr:rowOff>
                  </from>
                  <to>
                    <xdr:col>4</xdr:col>
                    <xdr:colOff>228600</xdr:colOff>
                    <xdr:row>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Check Box 2">
              <controlPr defaultSize="0" autoFill="0" autoLine="0" autoPict="0">
                <anchor moveWithCells="1">
                  <from>
                    <xdr:col>4</xdr:col>
                    <xdr:colOff>19050</xdr:colOff>
                    <xdr:row>7</xdr:row>
                    <xdr:rowOff>0</xdr:rowOff>
                  </from>
                  <to>
                    <xdr:col>4</xdr:col>
                    <xdr:colOff>228600</xdr:colOff>
                    <xdr:row>7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Check Box 3">
              <controlPr defaultSize="0" autoFill="0" autoLine="0" autoPict="0">
                <anchor moveWithCells="1">
                  <from>
                    <xdr:col>4</xdr:col>
                    <xdr:colOff>19050</xdr:colOff>
                    <xdr:row>18</xdr:row>
                    <xdr:rowOff>0</xdr:rowOff>
                  </from>
                  <to>
                    <xdr:col>4</xdr:col>
                    <xdr:colOff>228600</xdr:colOff>
                    <xdr:row>18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Check Box 4">
              <controlPr defaultSize="0" autoFill="0" autoLine="0" autoPict="0">
                <anchor moveWithCells="1">
                  <from>
                    <xdr:col>4</xdr:col>
                    <xdr:colOff>19050</xdr:colOff>
                    <xdr:row>19</xdr:row>
                    <xdr:rowOff>0</xdr:rowOff>
                  </from>
                  <to>
                    <xdr:col>4</xdr:col>
                    <xdr:colOff>228600</xdr:colOff>
                    <xdr:row>19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8" name="Check Box 5">
              <controlPr defaultSize="0" autoFill="0" autoLine="0" autoPict="0">
                <anchor moveWithCells="1">
                  <from>
                    <xdr:col>4</xdr:col>
                    <xdr:colOff>19050</xdr:colOff>
                    <xdr:row>20</xdr:row>
                    <xdr:rowOff>0</xdr:rowOff>
                  </from>
                  <to>
                    <xdr:col>4</xdr:col>
                    <xdr:colOff>228600</xdr:colOff>
                    <xdr:row>20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9" name="Check Box 6">
              <controlPr defaultSize="0" autoFill="0" autoLine="0" autoPict="0">
                <anchor moveWithCells="1">
                  <from>
                    <xdr:col>4</xdr:col>
                    <xdr:colOff>19050</xdr:colOff>
                    <xdr:row>21</xdr:row>
                    <xdr:rowOff>0</xdr:rowOff>
                  </from>
                  <to>
                    <xdr:col>4</xdr:col>
                    <xdr:colOff>228600</xdr:colOff>
                    <xdr:row>21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10" name="Check Box 7">
              <controlPr defaultSize="0" autoFill="0" autoLine="0" autoPict="0">
                <anchor moveWithCells="1">
                  <from>
                    <xdr:col>4</xdr:col>
                    <xdr:colOff>19050</xdr:colOff>
                    <xdr:row>22</xdr:row>
                    <xdr:rowOff>0</xdr:rowOff>
                  </from>
                  <to>
                    <xdr:col>4</xdr:col>
                    <xdr:colOff>228600</xdr:colOff>
                    <xdr:row>22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11" name="Check Box 8">
              <controlPr defaultSize="0" autoFill="0" autoLine="0" autoPict="0">
                <anchor moveWithCells="1">
                  <from>
                    <xdr:col>4</xdr:col>
                    <xdr:colOff>19050</xdr:colOff>
                    <xdr:row>23</xdr:row>
                    <xdr:rowOff>0</xdr:rowOff>
                  </from>
                  <to>
                    <xdr:col>4</xdr:col>
                    <xdr:colOff>228600</xdr:colOff>
                    <xdr:row>23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12" name="Check Box 9">
              <controlPr defaultSize="0" autoFill="0" autoLine="0" autoPict="0">
                <anchor moveWithCells="1">
                  <from>
                    <xdr:col>4</xdr:col>
                    <xdr:colOff>19050</xdr:colOff>
                    <xdr:row>24</xdr:row>
                    <xdr:rowOff>0</xdr:rowOff>
                  </from>
                  <to>
                    <xdr:col>4</xdr:col>
                    <xdr:colOff>228600</xdr:colOff>
                    <xdr:row>24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13" name="Check Box 10">
              <controlPr defaultSize="0" autoFill="0" autoLine="0" autoPict="0">
                <anchor moveWithCells="1">
                  <from>
                    <xdr:col>4</xdr:col>
                    <xdr:colOff>19050</xdr:colOff>
                    <xdr:row>25</xdr:row>
                    <xdr:rowOff>0</xdr:rowOff>
                  </from>
                  <to>
                    <xdr:col>4</xdr:col>
                    <xdr:colOff>228600</xdr:colOff>
                    <xdr:row>25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14" name="Check Box 11">
              <controlPr defaultSize="0" autoFill="0" autoLine="0" autoPict="0">
                <anchor moveWithCells="1">
                  <from>
                    <xdr:col>4</xdr:col>
                    <xdr:colOff>19050</xdr:colOff>
                    <xdr:row>27</xdr:row>
                    <xdr:rowOff>0</xdr:rowOff>
                  </from>
                  <to>
                    <xdr:col>4</xdr:col>
                    <xdr:colOff>228600</xdr:colOff>
                    <xdr:row>27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15" name="Check Box 12">
              <controlPr defaultSize="0" autoFill="0" autoLine="0" autoPict="0">
                <anchor moveWithCells="1">
                  <from>
                    <xdr:col>4</xdr:col>
                    <xdr:colOff>19050</xdr:colOff>
                    <xdr:row>28</xdr:row>
                    <xdr:rowOff>0</xdr:rowOff>
                  </from>
                  <to>
                    <xdr:col>4</xdr:col>
                    <xdr:colOff>228600</xdr:colOff>
                    <xdr:row>28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16" name="Check Box 13">
              <controlPr defaultSize="0" autoFill="0" autoLine="0" autoPict="0">
                <anchor moveWithCells="1">
                  <from>
                    <xdr:col>4</xdr:col>
                    <xdr:colOff>19050</xdr:colOff>
                    <xdr:row>29</xdr:row>
                    <xdr:rowOff>0</xdr:rowOff>
                  </from>
                  <to>
                    <xdr:col>4</xdr:col>
                    <xdr:colOff>228600</xdr:colOff>
                    <xdr:row>29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17" name="Check Box 14">
              <controlPr defaultSize="0" autoFill="0" autoLine="0" autoPict="0">
                <anchor moveWithCells="1">
                  <from>
                    <xdr:col>4</xdr:col>
                    <xdr:colOff>19050</xdr:colOff>
                    <xdr:row>30</xdr:row>
                    <xdr:rowOff>0</xdr:rowOff>
                  </from>
                  <to>
                    <xdr:col>4</xdr:col>
                    <xdr:colOff>228600</xdr:colOff>
                    <xdr:row>30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18" name="Check Box 15">
              <controlPr defaultSize="0" autoFill="0" autoLine="0" autoPict="0">
                <anchor moveWithCells="1">
                  <from>
                    <xdr:col>4</xdr:col>
                    <xdr:colOff>19050</xdr:colOff>
                    <xdr:row>31</xdr:row>
                    <xdr:rowOff>0</xdr:rowOff>
                  </from>
                  <to>
                    <xdr:col>4</xdr:col>
                    <xdr:colOff>228600</xdr:colOff>
                    <xdr:row>31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r:id="rId19" name="Check Box 16">
              <controlPr defaultSize="0" autoFill="0" autoLine="0" autoPict="0">
                <anchor moveWithCells="1">
                  <from>
                    <xdr:col>4</xdr:col>
                    <xdr:colOff>19050</xdr:colOff>
                    <xdr:row>32</xdr:row>
                    <xdr:rowOff>0</xdr:rowOff>
                  </from>
                  <to>
                    <xdr:col>4</xdr:col>
                    <xdr:colOff>228600</xdr:colOff>
                    <xdr:row>32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9" r:id="rId20" name="Check Box 17">
              <controlPr defaultSize="0" autoFill="0" autoLine="0" autoPict="0">
                <anchor moveWithCells="1">
                  <from>
                    <xdr:col>4</xdr:col>
                    <xdr:colOff>19050</xdr:colOff>
                    <xdr:row>33</xdr:row>
                    <xdr:rowOff>0</xdr:rowOff>
                  </from>
                  <to>
                    <xdr:col>4</xdr:col>
                    <xdr:colOff>228600</xdr:colOff>
                    <xdr:row>33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0" r:id="rId21" name="Check Box 18">
              <controlPr defaultSize="0" autoFill="0" autoLine="0" autoPict="0">
                <anchor moveWithCells="1">
                  <from>
                    <xdr:col>4</xdr:col>
                    <xdr:colOff>19050</xdr:colOff>
                    <xdr:row>34</xdr:row>
                    <xdr:rowOff>0</xdr:rowOff>
                  </from>
                  <to>
                    <xdr:col>4</xdr:col>
                    <xdr:colOff>228600</xdr:colOff>
                    <xdr:row>34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1" r:id="rId22" name="Check Box 19">
              <controlPr defaultSize="0" autoFill="0" autoLine="0" autoPict="0">
                <anchor moveWithCells="1">
                  <from>
                    <xdr:col>4</xdr:col>
                    <xdr:colOff>19050</xdr:colOff>
                    <xdr:row>35</xdr:row>
                    <xdr:rowOff>0</xdr:rowOff>
                  </from>
                  <to>
                    <xdr:col>4</xdr:col>
                    <xdr:colOff>228600</xdr:colOff>
                    <xdr:row>35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2" r:id="rId23" name="Check Box 20">
              <controlPr defaultSize="0" autoFill="0" autoLine="0" autoPict="0">
                <anchor moveWithCells="1">
                  <from>
                    <xdr:col>4</xdr:col>
                    <xdr:colOff>19050</xdr:colOff>
                    <xdr:row>36</xdr:row>
                    <xdr:rowOff>0</xdr:rowOff>
                  </from>
                  <to>
                    <xdr:col>4</xdr:col>
                    <xdr:colOff>228600</xdr:colOff>
                    <xdr:row>36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3" r:id="rId24" name="Check Box 21">
              <controlPr defaultSize="0" autoFill="0" autoLine="0" autoPict="0">
                <anchor moveWithCells="1">
                  <from>
                    <xdr:col>4</xdr:col>
                    <xdr:colOff>19050</xdr:colOff>
                    <xdr:row>37</xdr:row>
                    <xdr:rowOff>0</xdr:rowOff>
                  </from>
                  <to>
                    <xdr:col>4</xdr:col>
                    <xdr:colOff>228600</xdr:colOff>
                    <xdr:row>37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4" r:id="rId25" name="Check Box 22">
              <controlPr defaultSize="0" autoFill="0" autoLine="0" autoPict="0">
                <anchor moveWithCells="1">
                  <from>
                    <xdr:col>4</xdr:col>
                    <xdr:colOff>19050</xdr:colOff>
                    <xdr:row>90</xdr:row>
                    <xdr:rowOff>0</xdr:rowOff>
                  </from>
                  <to>
                    <xdr:col>4</xdr:col>
                    <xdr:colOff>228600</xdr:colOff>
                    <xdr:row>90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5" r:id="rId26" name="Check Box 23">
              <controlPr defaultSize="0" autoFill="0" autoLine="0" autoPict="0">
                <anchor moveWithCells="1">
                  <from>
                    <xdr:col>4</xdr:col>
                    <xdr:colOff>19050</xdr:colOff>
                    <xdr:row>91</xdr:row>
                    <xdr:rowOff>0</xdr:rowOff>
                  </from>
                  <to>
                    <xdr:col>4</xdr:col>
                    <xdr:colOff>228600</xdr:colOff>
                    <xdr:row>91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6" r:id="rId27" name="Check Box 24">
              <controlPr defaultSize="0" autoFill="0" autoLine="0" autoPict="0">
                <anchor moveWithCells="1">
                  <from>
                    <xdr:col>4</xdr:col>
                    <xdr:colOff>19050</xdr:colOff>
                    <xdr:row>92</xdr:row>
                    <xdr:rowOff>0</xdr:rowOff>
                  </from>
                  <to>
                    <xdr:col>4</xdr:col>
                    <xdr:colOff>228600</xdr:colOff>
                    <xdr:row>92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7" r:id="rId28" name="Check Box 25">
              <controlPr defaultSize="0" autoFill="0" autoLine="0" autoPict="0">
                <anchor moveWithCells="1">
                  <from>
                    <xdr:col>4</xdr:col>
                    <xdr:colOff>19050</xdr:colOff>
                    <xdr:row>93</xdr:row>
                    <xdr:rowOff>0</xdr:rowOff>
                  </from>
                  <to>
                    <xdr:col>4</xdr:col>
                    <xdr:colOff>228600</xdr:colOff>
                    <xdr:row>93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8" r:id="rId29" name="Check Box 26">
              <controlPr defaultSize="0" autoFill="0" autoLine="0" autoPict="0">
                <anchor moveWithCells="1">
                  <from>
                    <xdr:col>4</xdr:col>
                    <xdr:colOff>19050</xdr:colOff>
                    <xdr:row>122</xdr:row>
                    <xdr:rowOff>0</xdr:rowOff>
                  </from>
                  <to>
                    <xdr:col>4</xdr:col>
                    <xdr:colOff>228600</xdr:colOff>
                    <xdr:row>122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9" r:id="rId30" name="Check Box 27">
              <controlPr defaultSize="0" autoFill="0" autoLine="0" autoPict="0">
                <anchor moveWithCells="1">
                  <from>
                    <xdr:col>4</xdr:col>
                    <xdr:colOff>19050</xdr:colOff>
                    <xdr:row>123</xdr:row>
                    <xdr:rowOff>0</xdr:rowOff>
                  </from>
                  <to>
                    <xdr:col>4</xdr:col>
                    <xdr:colOff>228600</xdr:colOff>
                    <xdr:row>123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0" r:id="rId31" name="Check Box 28">
              <controlPr defaultSize="0" autoFill="0" autoLine="0" autoPict="0">
                <anchor moveWithCells="1">
                  <from>
                    <xdr:col>4</xdr:col>
                    <xdr:colOff>19050</xdr:colOff>
                    <xdr:row>124</xdr:row>
                    <xdr:rowOff>0</xdr:rowOff>
                  </from>
                  <to>
                    <xdr:col>4</xdr:col>
                    <xdr:colOff>228600</xdr:colOff>
                    <xdr:row>124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1" r:id="rId32" name="Check Box 29">
              <controlPr defaultSize="0" autoFill="0" autoLine="0" autoPict="0">
                <anchor moveWithCells="1">
                  <from>
                    <xdr:col>4</xdr:col>
                    <xdr:colOff>19050</xdr:colOff>
                    <xdr:row>125</xdr:row>
                    <xdr:rowOff>0</xdr:rowOff>
                  </from>
                  <to>
                    <xdr:col>4</xdr:col>
                    <xdr:colOff>228600</xdr:colOff>
                    <xdr:row>125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2" r:id="rId33" name="Check Box 30">
              <controlPr defaultSize="0" autoFill="0" autoLine="0" autoPict="0">
                <anchor moveWithCells="1">
                  <from>
                    <xdr:col>4</xdr:col>
                    <xdr:colOff>19050</xdr:colOff>
                    <xdr:row>126</xdr:row>
                    <xdr:rowOff>0</xdr:rowOff>
                  </from>
                  <to>
                    <xdr:col>4</xdr:col>
                    <xdr:colOff>228600</xdr:colOff>
                    <xdr:row>126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3" r:id="rId34" name="Check Box 31">
              <controlPr defaultSize="0" autoFill="0" autoLine="0" autoPict="0">
                <anchor moveWithCells="1">
                  <from>
                    <xdr:col>4</xdr:col>
                    <xdr:colOff>19050</xdr:colOff>
                    <xdr:row>127</xdr:row>
                    <xdr:rowOff>0</xdr:rowOff>
                  </from>
                  <to>
                    <xdr:col>4</xdr:col>
                    <xdr:colOff>228600</xdr:colOff>
                    <xdr:row>127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4" r:id="rId35" name="Check Box 32">
              <controlPr defaultSize="0" autoFill="0" autoLine="0" autoPict="0">
                <anchor moveWithCells="1">
                  <from>
                    <xdr:col>4</xdr:col>
                    <xdr:colOff>19050</xdr:colOff>
                    <xdr:row>128</xdr:row>
                    <xdr:rowOff>0</xdr:rowOff>
                  </from>
                  <to>
                    <xdr:col>4</xdr:col>
                    <xdr:colOff>228600</xdr:colOff>
                    <xdr:row>128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5" r:id="rId36" name="Check Box 33">
              <controlPr defaultSize="0" autoFill="0" autoLine="0" autoPict="0">
                <anchor moveWithCells="1">
                  <from>
                    <xdr:col>4</xdr:col>
                    <xdr:colOff>19050</xdr:colOff>
                    <xdr:row>129</xdr:row>
                    <xdr:rowOff>0</xdr:rowOff>
                  </from>
                  <to>
                    <xdr:col>4</xdr:col>
                    <xdr:colOff>228600</xdr:colOff>
                    <xdr:row>129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6" r:id="rId37" name="Check Box 34">
              <controlPr defaultSize="0" autoFill="0" autoLine="0" autoPict="0">
                <anchor moveWithCells="1">
                  <from>
                    <xdr:col>4</xdr:col>
                    <xdr:colOff>19050</xdr:colOff>
                    <xdr:row>130</xdr:row>
                    <xdr:rowOff>0</xdr:rowOff>
                  </from>
                  <to>
                    <xdr:col>4</xdr:col>
                    <xdr:colOff>228600</xdr:colOff>
                    <xdr:row>130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7" r:id="rId38" name="Check Box 35">
              <controlPr defaultSize="0" autoFill="0" autoLine="0" autoPict="0">
                <anchor moveWithCells="1">
                  <from>
                    <xdr:col>4</xdr:col>
                    <xdr:colOff>19050</xdr:colOff>
                    <xdr:row>131</xdr:row>
                    <xdr:rowOff>0</xdr:rowOff>
                  </from>
                  <to>
                    <xdr:col>4</xdr:col>
                    <xdr:colOff>228600</xdr:colOff>
                    <xdr:row>131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8" r:id="rId39" name="Check Box 36">
              <controlPr defaultSize="0" autoFill="0" autoLine="0" autoPict="0">
                <anchor moveWithCells="1">
                  <from>
                    <xdr:col>4</xdr:col>
                    <xdr:colOff>19050</xdr:colOff>
                    <xdr:row>132</xdr:row>
                    <xdr:rowOff>0</xdr:rowOff>
                  </from>
                  <to>
                    <xdr:col>4</xdr:col>
                    <xdr:colOff>228600</xdr:colOff>
                    <xdr:row>132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9" r:id="rId40" name="Check Box 37">
              <controlPr defaultSize="0" autoFill="0" autoLine="0" autoPict="0">
                <anchor moveWithCells="1">
                  <from>
                    <xdr:col>4</xdr:col>
                    <xdr:colOff>19050</xdr:colOff>
                    <xdr:row>133</xdr:row>
                    <xdr:rowOff>0</xdr:rowOff>
                  </from>
                  <to>
                    <xdr:col>4</xdr:col>
                    <xdr:colOff>228600</xdr:colOff>
                    <xdr:row>133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0" r:id="rId41" name="Check Box 38">
              <controlPr defaultSize="0" autoFill="0" autoLine="0" autoPict="0">
                <anchor moveWithCells="1">
                  <from>
                    <xdr:col>4</xdr:col>
                    <xdr:colOff>19050</xdr:colOff>
                    <xdr:row>134</xdr:row>
                    <xdr:rowOff>0</xdr:rowOff>
                  </from>
                  <to>
                    <xdr:col>4</xdr:col>
                    <xdr:colOff>228600</xdr:colOff>
                    <xdr:row>134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1" r:id="rId42" name="Check Box 39">
              <controlPr defaultSize="0" autoFill="0" autoLine="0" autoPict="0">
                <anchor moveWithCells="1">
                  <from>
                    <xdr:col>4</xdr:col>
                    <xdr:colOff>19050</xdr:colOff>
                    <xdr:row>135</xdr:row>
                    <xdr:rowOff>0</xdr:rowOff>
                  </from>
                  <to>
                    <xdr:col>4</xdr:col>
                    <xdr:colOff>228600</xdr:colOff>
                    <xdr:row>135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2" r:id="rId43" name="Check Box 40">
              <controlPr defaultSize="0" autoFill="0" autoLine="0" autoPict="0">
                <anchor moveWithCells="1">
                  <from>
                    <xdr:col>4</xdr:col>
                    <xdr:colOff>19050</xdr:colOff>
                    <xdr:row>136</xdr:row>
                    <xdr:rowOff>0</xdr:rowOff>
                  </from>
                  <to>
                    <xdr:col>4</xdr:col>
                    <xdr:colOff>228600</xdr:colOff>
                    <xdr:row>136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3" r:id="rId44" name="Check Box 41">
              <controlPr defaultSize="0" autoFill="0" autoLine="0" autoPict="0">
                <anchor moveWithCells="1">
                  <from>
                    <xdr:col>4</xdr:col>
                    <xdr:colOff>19050</xdr:colOff>
                    <xdr:row>137</xdr:row>
                    <xdr:rowOff>0</xdr:rowOff>
                  </from>
                  <to>
                    <xdr:col>4</xdr:col>
                    <xdr:colOff>228600</xdr:colOff>
                    <xdr:row>137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4" r:id="rId45" name="Check Box 42">
              <controlPr defaultSize="0" autoFill="0" autoLine="0" autoPict="0">
                <anchor moveWithCells="1">
                  <from>
                    <xdr:col>4</xdr:col>
                    <xdr:colOff>19050</xdr:colOff>
                    <xdr:row>138</xdr:row>
                    <xdr:rowOff>0</xdr:rowOff>
                  </from>
                  <to>
                    <xdr:col>4</xdr:col>
                    <xdr:colOff>228600</xdr:colOff>
                    <xdr:row>138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5" r:id="rId46" name="Check Box 43">
              <controlPr defaultSize="0" autoFill="0" autoLine="0" autoPict="0">
                <anchor moveWithCells="1">
                  <from>
                    <xdr:col>4</xdr:col>
                    <xdr:colOff>19050</xdr:colOff>
                    <xdr:row>139</xdr:row>
                    <xdr:rowOff>0</xdr:rowOff>
                  </from>
                  <to>
                    <xdr:col>4</xdr:col>
                    <xdr:colOff>228600</xdr:colOff>
                    <xdr:row>139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5" r:id="rId47" name="Check Box 53">
              <controlPr defaultSize="0" autoFill="0" autoLine="0" autoPict="0">
                <anchor moveWithCells="1">
                  <from>
                    <xdr:col>4</xdr:col>
                    <xdr:colOff>19050</xdr:colOff>
                    <xdr:row>26</xdr:row>
                    <xdr:rowOff>0</xdr:rowOff>
                  </from>
                  <to>
                    <xdr:col>4</xdr:col>
                    <xdr:colOff>228600</xdr:colOff>
                    <xdr:row>26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9" r:id="rId48" name="Check Box 57">
              <controlPr defaultSize="0" autoFill="0" autoLine="0" autoPict="0">
                <anchor moveWithCells="1">
                  <from>
                    <xdr:col>4</xdr:col>
                    <xdr:colOff>19050</xdr:colOff>
                    <xdr:row>138</xdr:row>
                    <xdr:rowOff>0</xdr:rowOff>
                  </from>
                  <to>
                    <xdr:col>4</xdr:col>
                    <xdr:colOff>228600</xdr:colOff>
                    <xdr:row>138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0" r:id="rId49" name="Check Box 58">
              <controlPr defaultSize="0" autoFill="0" autoLine="0" autoPict="0">
                <anchor moveWithCells="1">
                  <from>
                    <xdr:col>4</xdr:col>
                    <xdr:colOff>19050</xdr:colOff>
                    <xdr:row>139</xdr:row>
                    <xdr:rowOff>0</xdr:rowOff>
                  </from>
                  <to>
                    <xdr:col>4</xdr:col>
                    <xdr:colOff>228600</xdr:colOff>
                    <xdr:row>139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1" r:id="rId50" name="Check Box 59">
              <controlPr defaultSize="0" autoFill="0" autoLine="0" autoPict="0">
                <anchor moveWithCells="1">
                  <from>
                    <xdr:col>4</xdr:col>
                    <xdr:colOff>19050</xdr:colOff>
                    <xdr:row>176</xdr:row>
                    <xdr:rowOff>0</xdr:rowOff>
                  </from>
                  <to>
                    <xdr:col>4</xdr:col>
                    <xdr:colOff>228600</xdr:colOff>
                    <xdr:row>176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2" r:id="rId51" name="Check Box 60">
              <controlPr defaultSize="0" autoFill="0" autoLine="0" autoPict="0">
                <anchor moveWithCells="1">
                  <from>
                    <xdr:col>4</xdr:col>
                    <xdr:colOff>19050</xdr:colOff>
                    <xdr:row>177</xdr:row>
                    <xdr:rowOff>0</xdr:rowOff>
                  </from>
                  <to>
                    <xdr:col>4</xdr:col>
                    <xdr:colOff>228600</xdr:colOff>
                    <xdr:row>177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3" r:id="rId52" name="Check Box 61">
              <controlPr defaultSize="0" autoFill="0" autoLine="0" autoPict="0">
                <anchor moveWithCells="1">
                  <from>
                    <xdr:col>4</xdr:col>
                    <xdr:colOff>19050</xdr:colOff>
                    <xdr:row>178</xdr:row>
                    <xdr:rowOff>0</xdr:rowOff>
                  </from>
                  <to>
                    <xdr:col>4</xdr:col>
                    <xdr:colOff>228600</xdr:colOff>
                    <xdr:row>178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4" r:id="rId53" name="Check Box 62">
              <controlPr defaultSize="0" autoFill="0" autoLine="0" autoPict="0">
                <anchor moveWithCells="1">
                  <from>
                    <xdr:col>4</xdr:col>
                    <xdr:colOff>19050</xdr:colOff>
                    <xdr:row>179</xdr:row>
                    <xdr:rowOff>0</xdr:rowOff>
                  </from>
                  <to>
                    <xdr:col>4</xdr:col>
                    <xdr:colOff>228600</xdr:colOff>
                    <xdr:row>179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5" r:id="rId54" name="Check Box 63">
              <controlPr defaultSize="0" autoFill="0" autoLine="0" autoPict="0">
                <anchor moveWithCells="1">
                  <from>
                    <xdr:col>4</xdr:col>
                    <xdr:colOff>19050</xdr:colOff>
                    <xdr:row>180</xdr:row>
                    <xdr:rowOff>0</xdr:rowOff>
                  </from>
                  <to>
                    <xdr:col>4</xdr:col>
                    <xdr:colOff>228600</xdr:colOff>
                    <xdr:row>180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6" r:id="rId55" name="Check Box 64">
              <controlPr defaultSize="0" autoFill="0" autoLine="0" autoPict="0">
                <anchor moveWithCells="1">
                  <from>
                    <xdr:col>4</xdr:col>
                    <xdr:colOff>19050</xdr:colOff>
                    <xdr:row>181</xdr:row>
                    <xdr:rowOff>0</xdr:rowOff>
                  </from>
                  <to>
                    <xdr:col>4</xdr:col>
                    <xdr:colOff>228600</xdr:colOff>
                    <xdr:row>181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7" r:id="rId56" name="Check Box 65">
              <controlPr defaultSize="0" autoFill="0" autoLine="0" autoPict="0">
                <anchor moveWithCells="1">
                  <from>
                    <xdr:col>4</xdr:col>
                    <xdr:colOff>19050</xdr:colOff>
                    <xdr:row>182</xdr:row>
                    <xdr:rowOff>0</xdr:rowOff>
                  </from>
                  <to>
                    <xdr:col>4</xdr:col>
                    <xdr:colOff>228600</xdr:colOff>
                    <xdr:row>182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8" r:id="rId57" name="Check Box 66">
              <controlPr defaultSize="0" autoFill="0" autoLine="0" autoPict="0">
                <anchor moveWithCells="1">
                  <from>
                    <xdr:col>4</xdr:col>
                    <xdr:colOff>19050</xdr:colOff>
                    <xdr:row>183</xdr:row>
                    <xdr:rowOff>0</xdr:rowOff>
                  </from>
                  <to>
                    <xdr:col>4</xdr:col>
                    <xdr:colOff>228600</xdr:colOff>
                    <xdr:row>183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9" r:id="rId58" name="Check Box 67">
              <controlPr defaultSize="0" autoFill="0" autoLine="0" autoPict="0">
                <anchor moveWithCells="1">
                  <from>
                    <xdr:col>4</xdr:col>
                    <xdr:colOff>19050</xdr:colOff>
                    <xdr:row>184</xdr:row>
                    <xdr:rowOff>0</xdr:rowOff>
                  </from>
                  <to>
                    <xdr:col>4</xdr:col>
                    <xdr:colOff>228600</xdr:colOff>
                    <xdr:row>184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0" r:id="rId59" name="Check Box 68">
              <controlPr defaultSize="0" autoFill="0" autoLine="0" autoPict="0">
                <anchor moveWithCells="1">
                  <from>
                    <xdr:col>4</xdr:col>
                    <xdr:colOff>19050</xdr:colOff>
                    <xdr:row>185</xdr:row>
                    <xdr:rowOff>0</xdr:rowOff>
                  </from>
                  <to>
                    <xdr:col>4</xdr:col>
                    <xdr:colOff>228600</xdr:colOff>
                    <xdr:row>185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1" r:id="rId60" name="Check Box 69">
              <controlPr defaultSize="0" autoFill="0" autoLine="0" autoPict="0">
                <anchor moveWithCells="1">
                  <from>
                    <xdr:col>4</xdr:col>
                    <xdr:colOff>19050</xdr:colOff>
                    <xdr:row>186</xdr:row>
                    <xdr:rowOff>0</xdr:rowOff>
                  </from>
                  <to>
                    <xdr:col>4</xdr:col>
                    <xdr:colOff>228600</xdr:colOff>
                    <xdr:row>186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2" r:id="rId61" name="Check Box 70">
              <controlPr defaultSize="0" autoFill="0" autoLine="0" autoPict="0">
                <anchor moveWithCells="1">
                  <from>
                    <xdr:col>4</xdr:col>
                    <xdr:colOff>19050</xdr:colOff>
                    <xdr:row>187</xdr:row>
                    <xdr:rowOff>0</xdr:rowOff>
                  </from>
                  <to>
                    <xdr:col>4</xdr:col>
                    <xdr:colOff>228600</xdr:colOff>
                    <xdr:row>187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3" r:id="rId62" name="Check Box 71">
              <controlPr defaultSize="0" autoFill="0" autoLine="0" autoPict="0">
                <anchor moveWithCells="1">
                  <from>
                    <xdr:col>4</xdr:col>
                    <xdr:colOff>19050</xdr:colOff>
                    <xdr:row>192</xdr:row>
                    <xdr:rowOff>0</xdr:rowOff>
                  </from>
                  <to>
                    <xdr:col>4</xdr:col>
                    <xdr:colOff>228600</xdr:colOff>
                    <xdr:row>192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4" r:id="rId63" name="Check Box 72">
              <controlPr defaultSize="0" autoFill="0" autoLine="0" autoPict="0">
                <anchor moveWithCells="1">
                  <from>
                    <xdr:col>4</xdr:col>
                    <xdr:colOff>19050</xdr:colOff>
                    <xdr:row>193</xdr:row>
                    <xdr:rowOff>0</xdr:rowOff>
                  </from>
                  <to>
                    <xdr:col>4</xdr:col>
                    <xdr:colOff>228600</xdr:colOff>
                    <xdr:row>193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5" r:id="rId64" name="Check Box 73">
              <controlPr defaultSize="0" autoFill="0" autoLine="0" autoPict="0">
                <anchor moveWithCells="1">
                  <from>
                    <xdr:col>4</xdr:col>
                    <xdr:colOff>19050</xdr:colOff>
                    <xdr:row>194</xdr:row>
                    <xdr:rowOff>0</xdr:rowOff>
                  </from>
                  <to>
                    <xdr:col>4</xdr:col>
                    <xdr:colOff>228600</xdr:colOff>
                    <xdr:row>194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6" r:id="rId65" name="Check Box 74">
              <controlPr defaultSize="0" autoFill="0" autoLine="0" autoPict="0">
                <anchor moveWithCells="1">
                  <from>
                    <xdr:col>4</xdr:col>
                    <xdr:colOff>19050</xdr:colOff>
                    <xdr:row>195</xdr:row>
                    <xdr:rowOff>0</xdr:rowOff>
                  </from>
                  <to>
                    <xdr:col>4</xdr:col>
                    <xdr:colOff>228600</xdr:colOff>
                    <xdr:row>195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7" r:id="rId66" name="Check Box 75">
              <controlPr defaultSize="0" autoFill="0" autoLine="0" autoPict="0">
                <anchor moveWithCells="1">
                  <from>
                    <xdr:col>4</xdr:col>
                    <xdr:colOff>19050</xdr:colOff>
                    <xdr:row>196</xdr:row>
                    <xdr:rowOff>0</xdr:rowOff>
                  </from>
                  <to>
                    <xdr:col>4</xdr:col>
                    <xdr:colOff>228600</xdr:colOff>
                    <xdr:row>196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8" r:id="rId67" name="Check Box 76">
              <controlPr defaultSize="0" autoFill="0" autoLine="0" autoPict="0">
                <anchor moveWithCells="1">
                  <from>
                    <xdr:col>4</xdr:col>
                    <xdr:colOff>19050</xdr:colOff>
                    <xdr:row>197</xdr:row>
                    <xdr:rowOff>0</xdr:rowOff>
                  </from>
                  <to>
                    <xdr:col>4</xdr:col>
                    <xdr:colOff>228600</xdr:colOff>
                    <xdr:row>197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9" r:id="rId68" name="Check Box 77">
              <controlPr defaultSize="0" autoFill="0" autoLine="0" autoPict="0">
                <anchor moveWithCells="1">
                  <from>
                    <xdr:col>4</xdr:col>
                    <xdr:colOff>19050</xdr:colOff>
                    <xdr:row>198</xdr:row>
                    <xdr:rowOff>0</xdr:rowOff>
                  </from>
                  <to>
                    <xdr:col>4</xdr:col>
                    <xdr:colOff>228600</xdr:colOff>
                    <xdr:row>198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0" r:id="rId69" name="Check Box 78">
              <controlPr defaultSize="0" autoFill="0" autoLine="0" autoPict="0">
                <anchor moveWithCells="1">
                  <from>
                    <xdr:col>4</xdr:col>
                    <xdr:colOff>19050</xdr:colOff>
                    <xdr:row>199</xdr:row>
                    <xdr:rowOff>0</xdr:rowOff>
                  </from>
                  <to>
                    <xdr:col>4</xdr:col>
                    <xdr:colOff>228600</xdr:colOff>
                    <xdr:row>199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1" r:id="rId70" name="Check Box 79">
              <controlPr defaultSize="0" autoFill="0" autoLine="0" autoPict="0">
                <anchor moveWithCells="1">
                  <from>
                    <xdr:col>4</xdr:col>
                    <xdr:colOff>19050</xdr:colOff>
                    <xdr:row>200</xdr:row>
                    <xdr:rowOff>0</xdr:rowOff>
                  </from>
                  <to>
                    <xdr:col>4</xdr:col>
                    <xdr:colOff>228600</xdr:colOff>
                    <xdr:row>200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2" r:id="rId71" name="Check Box 80">
              <controlPr defaultSize="0" autoFill="0" autoLine="0" autoPict="0">
                <anchor moveWithCells="1">
                  <from>
                    <xdr:col>4</xdr:col>
                    <xdr:colOff>19050</xdr:colOff>
                    <xdr:row>201</xdr:row>
                    <xdr:rowOff>0</xdr:rowOff>
                  </from>
                  <to>
                    <xdr:col>4</xdr:col>
                    <xdr:colOff>228600</xdr:colOff>
                    <xdr:row>201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3" r:id="rId72" name="Check Box 81">
              <controlPr defaultSize="0" autoFill="0" autoLine="0" autoPict="0">
                <anchor moveWithCells="1">
                  <from>
                    <xdr:col>4</xdr:col>
                    <xdr:colOff>19050</xdr:colOff>
                    <xdr:row>202</xdr:row>
                    <xdr:rowOff>0</xdr:rowOff>
                  </from>
                  <to>
                    <xdr:col>4</xdr:col>
                    <xdr:colOff>228600</xdr:colOff>
                    <xdr:row>202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4" r:id="rId73" name="Check Box 82">
              <controlPr defaultSize="0" autoFill="0" autoLine="0" autoPict="0">
                <anchor moveWithCells="1">
                  <from>
                    <xdr:col>4</xdr:col>
                    <xdr:colOff>19050</xdr:colOff>
                    <xdr:row>203</xdr:row>
                    <xdr:rowOff>0</xdr:rowOff>
                  </from>
                  <to>
                    <xdr:col>4</xdr:col>
                    <xdr:colOff>228600</xdr:colOff>
                    <xdr:row>203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5" r:id="rId74" name="Check Box 83">
              <controlPr defaultSize="0" autoFill="0" autoLine="0" autoPict="0">
                <anchor moveWithCells="1">
                  <from>
                    <xdr:col>4</xdr:col>
                    <xdr:colOff>19050</xdr:colOff>
                    <xdr:row>262</xdr:row>
                    <xdr:rowOff>0</xdr:rowOff>
                  </from>
                  <to>
                    <xdr:col>4</xdr:col>
                    <xdr:colOff>228600</xdr:colOff>
                    <xdr:row>262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6" r:id="rId75" name="Check Box 84">
              <controlPr defaultSize="0" autoFill="0" autoLine="0" autoPict="0">
                <anchor moveWithCells="1">
                  <from>
                    <xdr:col>4</xdr:col>
                    <xdr:colOff>19050</xdr:colOff>
                    <xdr:row>263</xdr:row>
                    <xdr:rowOff>0</xdr:rowOff>
                  </from>
                  <to>
                    <xdr:col>4</xdr:col>
                    <xdr:colOff>228600</xdr:colOff>
                    <xdr:row>263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7" r:id="rId76" name="Check Box 85">
              <controlPr defaultSize="0" autoFill="0" autoLine="0" autoPict="0">
                <anchor moveWithCells="1">
                  <from>
                    <xdr:col>4</xdr:col>
                    <xdr:colOff>19050</xdr:colOff>
                    <xdr:row>264</xdr:row>
                    <xdr:rowOff>0</xdr:rowOff>
                  </from>
                  <to>
                    <xdr:col>4</xdr:col>
                    <xdr:colOff>228600</xdr:colOff>
                    <xdr:row>264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8" r:id="rId77" name="Check Box 86">
              <controlPr defaultSize="0" autoFill="0" autoLine="0" autoPict="0">
                <anchor moveWithCells="1">
                  <from>
                    <xdr:col>4</xdr:col>
                    <xdr:colOff>19050</xdr:colOff>
                    <xdr:row>265</xdr:row>
                    <xdr:rowOff>0</xdr:rowOff>
                  </from>
                  <to>
                    <xdr:col>4</xdr:col>
                    <xdr:colOff>228600</xdr:colOff>
                    <xdr:row>265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9" r:id="rId78" name="Check Box 87">
              <controlPr defaultSize="0" autoFill="0" autoLine="0" autoPict="0">
                <anchor moveWithCells="1">
                  <from>
                    <xdr:col>4</xdr:col>
                    <xdr:colOff>19050</xdr:colOff>
                    <xdr:row>266</xdr:row>
                    <xdr:rowOff>0</xdr:rowOff>
                  </from>
                  <to>
                    <xdr:col>4</xdr:col>
                    <xdr:colOff>228600</xdr:colOff>
                    <xdr:row>266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0" r:id="rId79" name="Check Box 88">
              <controlPr defaultSize="0" autoFill="0" autoLine="0" autoPict="0">
                <anchor moveWithCells="1">
                  <from>
                    <xdr:col>4</xdr:col>
                    <xdr:colOff>19050</xdr:colOff>
                    <xdr:row>267</xdr:row>
                    <xdr:rowOff>0</xdr:rowOff>
                  </from>
                  <to>
                    <xdr:col>4</xdr:col>
                    <xdr:colOff>228600</xdr:colOff>
                    <xdr:row>267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1" r:id="rId80" name="Check Box 89">
              <controlPr defaultSize="0" autoFill="0" autoLine="0" autoPict="0">
                <anchor moveWithCells="1">
                  <from>
                    <xdr:col>4</xdr:col>
                    <xdr:colOff>19050</xdr:colOff>
                    <xdr:row>38</xdr:row>
                    <xdr:rowOff>0</xdr:rowOff>
                  </from>
                  <to>
                    <xdr:col>4</xdr:col>
                    <xdr:colOff>228600</xdr:colOff>
                    <xdr:row>38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2" r:id="rId81" name="Check Box 90">
              <controlPr defaultSize="0" autoFill="0" autoLine="0" autoPict="0">
                <anchor moveWithCells="1">
                  <from>
                    <xdr:col>4</xdr:col>
                    <xdr:colOff>19050</xdr:colOff>
                    <xdr:row>39</xdr:row>
                    <xdr:rowOff>0</xdr:rowOff>
                  </from>
                  <to>
                    <xdr:col>4</xdr:col>
                    <xdr:colOff>228600</xdr:colOff>
                    <xdr:row>39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3" r:id="rId82" name="Check Box 91">
              <controlPr defaultSize="0" autoFill="0" autoLine="0" autoPict="0">
                <anchor moveWithCells="1">
                  <from>
                    <xdr:col>4</xdr:col>
                    <xdr:colOff>19050</xdr:colOff>
                    <xdr:row>40</xdr:row>
                    <xdr:rowOff>0</xdr:rowOff>
                  </from>
                  <to>
                    <xdr:col>4</xdr:col>
                    <xdr:colOff>228600</xdr:colOff>
                    <xdr:row>40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4" r:id="rId83" name="Check Box 92">
              <controlPr defaultSize="0" autoFill="0" autoLine="0" autoPict="0">
                <anchor moveWithCells="1">
                  <from>
                    <xdr:col>4</xdr:col>
                    <xdr:colOff>19050</xdr:colOff>
                    <xdr:row>41</xdr:row>
                    <xdr:rowOff>0</xdr:rowOff>
                  </from>
                  <to>
                    <xdr:col>4</xdr:col>
                    <xdr:colOff>228600</xdr:colOff>
                    <xdr:row>41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5" r:id="rId84" name="Check Box 93">
              <controlPr defaultSize="0" autoFill="0" autoLine="0" autoPict="0">
                <anchor moveWithCells="1">
                  <from>
                    <xdr:col>4</xdr:col>
                    <xdr:colOff>19050</xdr:colOff>
                    <xdr:row>42</xdr:row>
                    <xdr:rowOff>0</xdr:rowOff>
                  </from>
                  <to>
                    <xdr:col>4</xdr:col>
                    <xdr:colOff>228600</xdr:colOff>
                    <xdr:row>42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6" r:id="rId85" name="Check Box 94">
              <controlPr defaultSize="0" autoFill="0" autoLine="0" autoPict="0">
                <anchor moveWithCells="1">
                  <from>
                    <xdr:col>4</xdr:col>
                    <xdr:colOff>19050</xdr:colOff>
                    <xdr:row>43</xdr:row>
                    <xdr:rowOff>0</xdr:rowOff>
                  </from>
                  <to>
                    <xdr:col>4</xdr:col>
                    <xdr:colOff>228600</xdr:colOff>
                    <xdr:row>43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7" r:id="rId86" name="Check Box 95">
              <controlPr defaultSize="0" autoFill="0" autoLine="0" autoPict="0">
                <anchor moveWithCells="1">
                  <from>
                    <xdr:col>4</xdr:col>
                    <xdr:colOff>19050</xdr:colOff>
                    <xdr:row>44</xdr:row>
                    <xdr:rowOff>0</xdr:rowOff>
                  </from>
                  <to>
                    <xdr:col>4</xdr:col>
                    <xdr:colOff>228600</xdr:colOff>
                    <xdr:row>44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8" r:id="rId87" name="Check Box 96">
              <controlPr defaultSize="0" autoFill="0" autoLine="0" autoPict="0">
                <anchor moveWithCells="1">
                  <from>
                    <xdr:col>4</xdr:col>
                    <xdr:colOff>19050</xdr:colOff>
                    <xdr:row>45</xdr:row>
                    <xdr:rowOff>0</xdr:rowOff>
                  </from>
                  <to>
                    <xdr:col>4</xdr:col>
                    <xdr:colOff>228600</xdr:colOff>
                    <xdr:row>45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9" r:id="rId88" name="Check Box 97">
              <controlPr defaultSize="0" autoFill="0" autoLine="0" autoPict="0">
                <anchor moveWithCells="1">
                  <from>
                    <xdr:col>4</xdr:col>
                    <xdr:colOff>19050</xdr:colOff>
                    <xdr:row>46</xdr:row>
                    <xdr:rowOff>0</xdr:rowOff>
                  </from>
                  <to>
                    <xdr:col>4</xdr:col>
                    <xdr:colOff>228600</xdr:colOff>
                    <xdr:row>46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0" r:id="rId89" name="Check Box 98">
              <controlPr defaultSize="0" autoFill="0" autoLine="0" autoPict="0">
                <anchor moveWithCells="1">
                  <from>
                    <xdr:col>4</xdr:col>
                    <xdr:colOff>19050</xdr:colOff>
                    <xdr:row>47</xdr:row>
                    <xdr:rowOff>0</xdr:rowOff>
                  </from>
                  <to>
                    <xdr:col>4</xdr:col>
                    <xdr:colOff>228600</xdr:colOff>
                    <xdr:row>47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1" r:id="rId90" name="Check Box 99">
              <controlPr defaultSize="0" autoFill="0" autoLine="0" autoPict="0">
                <anchor moveWithCells="1">
                  <from>
                    <xdr:col>4</xdr:col>
                    <xdr:colOff>19050</xdr:colOff>
                    <xdr:row>48</xdr:row>
                    <xdr:rowOff>0</xdr:rowOff>
                  </from>
                  <to>
                    <xdr:col>4</xdr:col>
                    <xdr:colOff>228600</xdr:colOff>
                    <xdr:row>48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2" r:id="rId91" name="Check Box 100">
              <controlPr defaultSize="0" autoFill="0" autoLine="0" autoPict="0">
                <anchor moveWithCells="1">
                  <from>
                    <xdr:col>4</xdr:col>
                    <xdr:colOff>19050</xdr:colOff>
                    <xdr:row>49</xdr:row>
                    <xdr:rowOff>0</xdr:rowOff>
                  </from>
                  <to>
                    <xdr:col>4</xdr:col>
                    <xdr:colOff>228600</xdr:colOff>
                    <xdr:row>49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3" r:id="rId92" name="Check Box 101">
              <controlPr defaultSize="0" autoFill="0" autoLine="0" autoPict="0">
                <anchor moveWithCells="1">
                  <from>
                    <xdr:col>4</xdr:col>
                    <xdr:colOff>19050</xdr:colOff>
                    <xdr:row>56</xdr:row>
                    <xdr:rowOff>0</xdr:rowOff>
                  </from>
                  <to>
                    <xdr:col>4</xdr:col>
                    <xdr:colOff>228600</xdr:colOff>
                    <xdr:row>56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4" r:id="rId93" name="Check Box 102">
              <controlPr defaultSize="0" autoFill="0" autoLine="0" autoPict="0">
                <anchor moveWithCells="1">
                  <from>
                    <xdr:col>4</xdr:col>
                    <xdr:colOff>19050</xdr:colOff>
                    <xdr:row>57</xdr:row>
                    <xdr:rowOff>0</xdr:rowOff>
                  </from>
                  <to>
                    <xdr:col>4</xdr:col>
                    <xdr:colOff>228600</xdr:colOff>
                    <xdr:row>57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5" r:id="rId94" name="Check Box 103">
              <controlPr defaultSize="0" autoFill="0" autoLine="0" autoPict="0">
                <anchor moveWithCells="1">
                  <from>
                    <xdr:col>4</xdr:col>
                    <xdr:colOff>19050</xdr:colOff>
                    <xdr:row>58</xdr:row>
                    <xdr:rowOff>0</xdr:rowOff>
                  </from>
                  <to>
                    <xdr:col>4</xdr:col>
                    <xdr:colOff>228600</xdr:colOff>
                    <xdr:row>58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6" r:id="rId95" name="Check Box 104">
              <controlPr defaultSize="0" autoFill="0" autoLine="0" autoPict="0">
                <anchor moveWithCells="1">
                  <from>
                    <xdr:col>4</xdr:col>
                    <xdr:colOff>19050</xdr:colOff>
                    <xdr:row>59</xdr:row>
                    <xdr:rowOff>0</xdr:rowOff>
                  </from>
                  <to>
                    <xdr:col>4</xdr:col>
                    <xdr:colOff>228600</xdr:colOff>
                    <xdr:row>59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7" r:id="rId96" name="Check Box 105">
              <controlPr defaultSize="0" autoFill="0" autoLine="0" autoPict="0">
                <anchor moveWithCells="1">
                  <from>
                    <xdr:col>4</xdr:col>
                    <xdr:colOff>19050</xdr:colOff>
                    <xdr:row>60</xdr:row>
                    <xdr:rowOff>0</xdr:rowOff>
                  </from>
                  <to>
                    <xdr:col>4</xdr:col>
                    <xdr:colOff>228600</xdr:colOff>
                    <xdr:row>60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8" r:id="rId97" name="Check Box 106">
              <controlPr defaultSize="0" autoFill="0" autoLine="0" autoPict="0">
                <anchor moveWithCells="1">
                  <from>
                    <xdr:col>4</xdr:col>
                    <xdr:colOff>19050</xdr:colOff>
                    <xdr:row>61</xdr:row>
                    <xdr:rowOff>0</xdr:rowOff>
                  </from>
                  <to>
                    <xdr:col>4</xdr:col>
                    <xdr:colOff>228600</xdr:colOff>
                    <xdr:row>61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9" r:id="rId98" name="Check Box 107">
              <controlPr defaultSize="0" autoFill="0" autoLine="0" autoPict="0">
                <anchor moveWithCells="1">
                  <from>
                    <xdr:col>4</xdr:col>
                    <xdr:colOff>19050</xdr:colOff>
                    <xdr:row>62</xdr:row>
                    <xdr:rowOff>0</xdr:rowOff>
                  </from>
                  <to>
                    <xdr:col>4</xdr:col>
                    <xdr:colOff>228600</xdr:colOff>
                    <xdr:row>62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0" r:id="rId99" name="Check Box 108">
              <controlPr defaultSize="0" autoFill="0" autoLine="0" autoPict="0">
                <anchor moveWithCells="1">
                  <from>
                    <xdr:col>4</xdr:col>
                    <xdr:colOff>19050</xdr:colOff>
                    <xdr:row>63</xdr:row>
                    <xdr:rowOff>0</xdr:rowOff>
                  </from>
                  <to>
                    <xdr:col>4</xdr:col>
                    <xdr:colOff>228600</xdr:colOff>
                    <xdr:row>63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1" r:id="rId100" name="Check Box 109">
              <controlPr defaultSize="0" autoFill="0" autoLine="0" autoPict="0">
                <anchor moveWithCells="1">
                  <from>
                    <xdr:col>4</xdr:col>
                    <xdr:colOff>19050</xdr:colOff>
                    <xdr:row>64</xdr:row>
                    <xdr:rowOff>0</xdr:rowOff>
                  </from>
                  <to>
                    <xdr:col>4</xdr:col>
                    <xdr:colOff>228600</xdr:colOff>
                    <xdr:row>64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2" r:id="rId101" name="Check Box 110">
              <controlPr defaultSize="0" autoFill="0" autoLine="0" autoPict="0">
                <anchor moveWithCells="1">
                  <from>
                    <xdr:col>4</xdr:col>
                    <xdr:colOff>19050</xdr:colOff>
                    <xdr:row>65</xdr:row>
                    <xdr:rowOff>0</xdr:rowOff>
                  </from>
                  <to>
                    <xdr:col>4</xdr:col>
                    <xdr:colOff>228600</xdr:colOff>
                    <xdr:row>65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3" r:id="rId102" name="Check Box 111">
              <controlPr defaultSize="0" autoFill="0" autoLine="0" autoPict="0">
                <anchor moveWithCells="1">
                  <from>
                    <xdr:col>4</xdr:col>
                    <xdr:colOff>19050</xdr:colOff>
                    <xdr:row>66</xdr:row>
                    <xdr:rowOff>0</xdr:rowOff>
                  </from>
                  <to>
                    <xdr:col>4</xdr:col>
                    <xdr:colOff>228600</xdr:colOff>
                    <xdr:row>66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4" r:id="rId103" name="Check Box 112">
              <controlPr defaultSize="0" autoFill="0" autoLine="0" autoPict="0">
                <anchor moveWithCells="1">
                  <from>
                    <xdr:col>4</xdr:col>
                    <xdr:colOff>19050</xdr:colOff>
                    <xdr:row>67</xdr:row>
                    <xdr:rowOff>0</xdr:rowOff>
                  </from>
                  <to>
                    <xdr:col>4</xdr:col>
                    <xdr:colOff>228600</xdr:colOff>
                    <xdr:row>67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5" r:id="rId104" name="Check Box 113">
              <controlPr defaultSize="0" autoFill="0" autoLine="0" autoPict="0">
                <anchor moveWithCells="1">
                  <from>
                    <xdr:col>4</xdr:col>
                    <xdr:colOff>19050</xdr:colOff>
                    <xdr:row>96</xdr:row>
                    <xdr:rowOff>0</xdr:rowOff>
                  </from>
                  <to>
                    <xdr:col>4</xdr:col>
                    <xdr:colOff>228600</xdr:colOff>
                    <xdr:row>96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6" r:id="rId105" name="Check Box 114">
              <controlPr defaultSize="0" autoFill="0" autoLine="0" autoPict="0">
                <anchor moveWithCells="1">
                  <from>
                    <xdr:col>4</xdr:col>
                    <xdr:colOff>19050</xdr:colOff>
                    <xdr:row>97</xdr:row>
                    <xdr:rowOff>0</xdr:rowOff>
                  </from>
                  <to>
                    <xdr:col>4</xdr:col>
                    <xdr:colOff>228600</xdr:colOff>
                    <xdr:row>97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7" r:id="rId106" name="Check Box 115">
              <controlPr defaultSize="0" autoFill="0" autoLine="0" autoPict="0">
                <anchor moveWithCells="1">
                  <from>
                    <xdr:col>4</xdr:col>
                    <xdr:colOff>19050</xdr:colOff>
                    <xdr:row>98</xdr:row>
                    <xdr:rowOff>0</xdr:rowOff>
                  </from>
                  <to>
                    <xdr:col>4</xdr:col>
                    <xdr:colOff>228600</xdr:colOff>
                    <xdr:row>98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8" r:id="rId107" name="Check Box 116">
              <controlPr defaultSize="0" autoFill="0" autoLine="0" autoPict="0">
                <anchor moveWithCells="1">
                  <from>
                    <xdr:col>4</xdr:col>
                    <xdr:colOff>19050</xdr:colOff>
                    <xdr:row>99</xdr:row>
                    <xdr:rowOff>0</xdr:rowOff>
                  </from>
                  <to>
                    <xdr:col>4</xdr:col>
                    <xdr:colOff>228600</xdr:colOff>
                    <xdr:row>99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9" r:id="rId108" name="Check Box 117">
              <controlPr defaultSize="0" autoFill="0" autoLine="0" autoPict="0">
                <anchor moveWithCells="1">
                  <from>
                    <xdr:col>4</xdr:col>
                    <xdr:colOff>19050</xdr:colOff>
                    <xdr:row>100</xdr:row>
                    <xdr:rowOff>0</xdr:rowOff>
                  </from>
                  <to>
                    <xdr:col>4</xdr:col>
                    <xdr:colOff>228600</xdr:colOff>
                    <xdr:row>100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0" r:id="rId109" name="Check Box 118">
              <controlPr defaultSize="0" autoFill="0" autoLine="0" autoPict="0">
                <anchor moveWithCells="1">
                  <from>
                    <xdr:col>4</xdr:col>
                    <xdr:colOff>19050</xdr:colOff>
                    <xdr:row>101</xdr:row>
                    <xdr:rowOff>0</xdr:rowOff>
                  </from>
                  <to>
                    <xdr:col>4</xdr:col>
                    <xdr:colOff>228600</xdr:colOff>
                    <xdr:row>101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1" r:id="rId110" name="Check Box 119">
              <controlPr defaultSize="0" autoFill="0" autoLine="0" autoPict="0">
                <anchor moveWithCells="1">
                  <from>
                    <xdr:col>4</xdr:col>
                    <xdr:colOff>19050</xdr:colOff>
                    <xdr:row>102</xdr:row>
                    <xdr:rowOff>0</xdr:rowOff>
                  </from>
                  <to>
                    <xdr:col>4</xdr:col>
                    <xdr:colOff>228600</xdr:colOff>
                    <xdr:row>102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2" r:id="rId111" name="Check Box 120">
              <controlPr defaultSize="0" autoFill="0" autoLine="0" autoPict="0">
                <anchor moveWithCells="1">
                  <from>
                    <xdr:col>4</xdr:col>
                    <xdr:colOff>19050</xdr:colOff>
                    <xdr:row>103</xdr:row>
                    <xdr:rowOff>0</xdr:rowOff>
                  </from>
                  <to>
                    <xdr:col>4</xdr:col>
                    <xdr:colOff>228600</xdr:colOff>
                    <xdr:row>103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3" r:id="rId112" name="Check Box 121">
              <controlPr defaultSize="0" autoFill="0" autoLine="0" autoPict="0">
                <anchor moveWithCells="1">
                  <from>
                    <xdr:col>4</xdr:col>
                    <xdr:colOff>19050</xdr:colOff>
                    <xdr:row>104</xdr:row>
                    <xdr:rowOff>0</xdr:rowOff>
                  </from>
                  <to>
                    <xdr:col>4</xdr:col>
                    <xdr:colOff>228600</xdr:colOff>
                    <xdr:row>104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4" r:id="rId113" name="Check Box 122">
              <controlPr defaultSize="0" autoFill="0" autoLine="0" autoPict="0">
                <anchor moveWithCells="1">
                  <from>
                    <xdr:col>4</xdr:col>
                    <xdr:colOff>19050</xdr:colOff>
                    <xdr:row>105</xdr:row>
                    <xdr:rowOff>0</xdr:rowOff>
                  </from>
                  <to>
                    <xdr:col>4</xdr:col>
                    <xdr:colOff>228600</xdr:colOff>
                    <xdr:row>105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5" r:id="rId114" name="Check Box 123">
              <controlPr defaultSize="0" autoFill="0" autoLine="0" autoPict="0">
                <anchor moveWithCells="1">
                  <from>
                    <xdr:col>4</xdr:col>
                    <xdr:colOff>19050</xdr:colOff>
                    <xdr:row>174</xdr:row>
                    <xdr:rowOff>0</xdr:rowOff>
                  </from>
                  <to>
                    <xdr:col>4</xdr:col>
                    <xdr:colOff>228600</xdr:colOff>
                    <xdr:row>174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6" r:id="rId115" name="Check Box 124">
              <controlPr defaultSize="0" autoFill="0" autoLine="0" autoPict="0">
                <anchor moveWithCells="1">
                  <from>
                    <xdr:col>4</xdr:col>
                    <xdr:colOff>19050</xdr:colOff>
                    <xdr:row>175</xdr:row>
                    <xdr:rowOff>0</xdr:rowOff>
                  </from>
                  <to>
                    <xdr:col>4</xdr:col>
                    <xdr:colOff>228600</xdr:colOff>
                    <xdr:row>175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7" r:id="rId116" name="Check Box 125">
              <controlPr defaultSize="0" autoFill="0" autoLine="0" autoPict="0">
                <anchor moveWithCells="1">
                  <from>
                    <xdr:col>4</xdr:col>
                    <xdr:colOff>19050</xdr:colOff>
                    <xdr:row>188</xdr:row>
                    <xdr:rowOff>0</xdr:rowOff>
                  </from>
                  <to>
                    <xdr:col>4</xdr:col>
                    <xdr:colOff>228600</xdr:colOff>
                    <xdr:row>188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8" r:id="rId117" name="Check Box 126">
              <controlPr defaultSize="0" autoFill="0" autoLine="0" autoPict="0">
                <anchor moveWithCells="1">
                  <from>
                    <xdr:col>4</xdr:col>
                    <xdr:colOff>19050</xdr:colOff>
                    <xdr:row>189</xdr:row>
                    <xdr:rowOff>0</xdr:rowOff>
                  </from>
                  <to>
                    <xdr:col>4</xdr:col>
                    <xdr:colOff>228600</xdr:colOff>
                    <xdr:row>189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9" r:id="rId118" name="Check Box 127">
              <controlPr defaultSize="0" autoFill="0" autoLine="0" autoPict="0">
                <anchor moveWithCells="1">
                  <from>
                    <xdr:col>4</xdr:col>
                    <xdr:colOff>19050</xdr:colOff>
                    <xdr:row>190</xdr:row>
                    <xdr:rowOff>0</xdr:rowOff>
                  </from>
                  <to>
                    <xdr:col>4</xdr:col>
                    <xdr:colOff>228600</xdr:colOff>
                    <xdr:row>190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0" r:id="rId119" name="Check Box 128">
              <controlPr defaultSize="0" autoFill="0" autoLine="0" autoPict="0">
                <anchor moveWithCells="1">
                  <from>
                    <xdr:col>4</xdr:col>
                    <xdr:colOff>19050</xdr:colOff>
                    <xdr:row>191</xdr:row>
                    <xdr:rowOff>0</xdr:rowOff>
                  </from>
                  <to>
                    <xdr:col>4</xdr:col>
                    <xdr:colOff>228600</xdr:colOff>
                    <xdr:row>191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1" r:id="rId120" name="Check Box 139">
              <controlPr defaultSize="0" autoFill="0" autoLine="0" autoPict="0">
                <anchor moveWithCells="1">
                  <from>
                    <xdr:col>4</xdr:col>
                    <xdr:colOff>19050</xdr:colOff>
                    <xdr:row>239</xdr:row>
                    <xdr:rowOff>0</xdr:rowOff>
                  </from>
                  <to>
                    <xdr:col>4</xdr:col>
                    <xdr:colOff>228600</xdr:colOff>
                    <xdr:row>239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2" r:id="rId121" name="Check Box 140">
              <controlPr defaultSize="0" autoFill="0" autoLine="0" autoPict="0">
                <anchor moveWithCells="1">
                  <from>
                    <xdr:col>4</xdr:col>
                    <xdr:colOff>19050</xdr:colOff>
                    <xdr:row>352</xdr:row>
                    <xdr:rowOff>0</xdr:rowOff>
                  </from>
                  <to>
                    <xdr:col>4</xdr:col>
                    <xdr:colOff>228600</xdr:colOff>
                    <xdr:row>352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3" r:id="rId122" name="Check Box 141">
              <controlPr defaultSize="0" autoFill="0" autoLine="0" autoPict="0">
                <anchor moveWithCells="1">
                  <from>
                    <xdr:col>4</xdr:col>
                    <xdr:colOff>19050</xdr:colOff>
                    <xdr:row>353</xdr:row>
                    <xdr:rowOff>0</xdr:rowOff>
                  </from>
                  <to>
                    <xdr:col>4</xdr:col>
                    <xdr:colOff>228600</xdr:colOff>
                    <xdr:row>353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4" r:id="rId123" name="Check Box 142">
              <controlPr defaultSize="0" autoFill="0" autoLine="0" autoPict="0">
                <anchor moveWithCells="1">
                  <from>
                    <xdr:col>4</xdr:col>
                    <xdr:colOff>19050</xdr:colOff>
                    <xdr:row>118</xdr:row>
                    <xdr:rowOff>0</xdr:rowOff>
                  </from>
                  <to>
                    <xdr:col>4</xdr:col>
                    <xdr:colOff>228600</xdr:colOff>
                    <xdr:row>118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5" r:id="rId124" name="Check Box 143">
              <controlPr defaultSize="0" autoFill="0" autoLine="0" autoPict="0">
                <anchor moveWithCells="1">
                  <from>
                    <xdr:col>4</xdr:col>
                    <xdr:colOff>19050</xdr:colOff>
                    <xdr:row>119</xdr:row>
                    <xdr:rowOff>0</xdr:rowOff>
                  </from>
                  <to>
                    <xdr:col>4</xdr:col>
                    <xdr:colOff>228600</xdr:colOff>
                    <xdr:row>119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6" r:id="rId125" name="Check Box 144">
              <controlPr defaultSize="0" autoFill="0" autoLine="0" autoPict="0">
                <anchor moveWithCells="1">
                  <from>
                    <xdr:col>4</xdr:col>
                    <xdr:colOff>19050</xdr:colOff>
                    <xdr:row>120</xdr:row>
                    <xdr:rowOff>0</xdr:rowOff>
                  </from>
                  <to>
                    <xdr:col>4</xdr:col>
                    <xdr:colOff>228600</xdr:colOff>
                    <xdr:row>120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7" r:id="rId126" name="Check Box 145">
              <controlPr defaultSize="0" autoFill="0" autoLine="0" autoPict="0">
                <anchor moveWithCells="1">
                  <from>
                    <xdr:col>4</xdr:col>
                    <xdr:colOff>19050</xdr:colOff>
                    <xdr:row>121</xdr:row>
                    <xdr:rowOff>0</xdr:rowOff>
                  </from>
                  <to>
                    <xdr:col>4</xdr:col>
                    <xdr:colOff>228600</xdr:colOff>
                    <xdr:row>121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8" r:id="rId127" name="Check Box 146">
              <controlPr defaultSize="0" autoFill="0" autoLine="0" autoPict="0">
                <anchor moveWithCells="1">
                  <from>
                    <xdr:col>4</xdr:col>
                    <xdr:colOff>19050</xdr:colOff>
                    <xdr:row>232</xdr:row>
                    <xdr:rowOff>0</xdr:rowOff>
                  </from>
                  <to>
                    <xdr:col>4</xdr:col>
                    <xdr:colOff>228600</xdr:colOff>
                    <xdr:row>232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9" r:id="rId128" name="Check Box 147">
              <controlPr defaultSize="0" autoFill="0" autoLine="0" autoPict="0">
                <anchor moveWithCells="1">
                  <from>
                    <xdr:col>4</xdr:col>
                    <xdr:colOff>19050</xdr:colOff>
                    <xdr:row>233</xdr:row>
                    <xdr:rowOff>0</xdr:rowOff>
                  </from>
                  <to>
                    <xdr:col>4</xdr:col>
                    <xdr:colOff>228600</xdr:colOff>
                    <xdr:row>233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0" r:id="rId129" name="Check Box 148">
              <controlPr defaultSize="0" autoFill="0" autoLine="0" autoPict="0">
                <anchor moveWithCells="1">
                  <from>
                    <xdr:col>4</xdr:col>
                    <xdr:colOff>19050</xdr:colOff>
                    <xdr:row>234</xdr:row>
                    <xdr:rowOff>0</xdr:rowOff>
                  </from>
                  <to>
                    <xdr:col>4</xdr:col>
                    <xdr:colOff>228600</xdr:colOff>
                    <xdr:row>234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1" r:id="rId130" name="Check Box 149">
              <controlPr defaultSize="0" autoFill="0" autoLine="0" autoPict="0">
                <anchor moveWithCells="1">
                  <from>
                    <xdr:col>4</xdr:col>
                    <xdr:colOff>19050</xdr:colOff>
                    <xdr:row>235</xdr:row>
                    <xdr:rowOff>0</xdr:rowOff>
                  </from>
                  <to>
                    <xdr:col>4</xdr:col>
                    <xdr:colOff>228600</xdr:colOff>
                    <xdr:row>235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2" r:id="rId131" name="Check Box 150">
              <controlPr defaultSize="0" autoFill="0" autoLine="0" autoPict="0">
                <anchor moveWithCells="1">
                  <from>
                    <xdr:col>4</xdr:col>
                    <xdr:colOff>19050</xdr:colOff>
                    <xdr:row>236</xdr:row>
                    <xdr:rowOff>0</xdr:rowOff>
                  </from>
                  <to>
                    <xdr:col>4</xdr:col>
                    <xdr:colOff>228600</xdr:colOff>
                    <xdr:row>236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3" r:id="rId132" name="Check Box 151">
              <controlPr defaultSize="0" autoFill="0" autoLine="0" autoPict="0">
                <anchor moveWithCells="1">
                  <from>
                    <xdr:col>4</xdr:col>
                    <xdr:colOff>19050</xdr:colOff>
                    <xdr:row>237</xdr:row>
                    <xdr:rowOff>0</xdr:rowOff>
                  </from>
                  <to>
                    <xdr:col>4</xdr:col>
                    <xdr:colOff>228600</xdr:colOff>
                    <xdr:row>237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4" r:id="rId133" name="Check Box 152">
              <controlPr defaultSize="0" autoFill="0" autoLine="0" autoPict="0">
                <anchor moveWithCells="1">
                  <from>
                    <xdr:col>4</xdr:col>
                    <xdr:colOff>19050</xdr:colOff>
                    <xdr:row>238</xdr:row>
                    <xdr:rowOff>0</xdr:rowOff>
                  </from>
                  <to>
                    <xdr:col>4</xdr:col>
                    <xdr:colOff>228600</xdr:colOff>
                    <xdr:row>238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5" r:id="rId134" name="Check Box 153">
              <controlPr defaultSize="0" autoFill="0" autoLine="0" autoPict="0">
                <anchor moveWithCells="1">
                  <from>
                    <xdr:col>4</xdr:col>
                    <xdr:colOff>19050</xdr:colOff>
                    <xdr:row>239</xdr:row>
                    <xdr:rowOff>0</xdr:rowOff>
                  </from>
                  <to>
                    <xdr:col>4</xdr:col>
                    <xdr:colOff>228600</xdr:colOff>
                    <xdr:row>239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6" r:id="rId135" name="Check Box 154">
              <controlPr defaultSize="0" autoFill="0" autoLine="0" autoPict="0">
                <anchor moveWithCells="1">
                  <from>
                    <xdr:col>4</xdr:col>
                    <xdr:colOff>19050</xdr:colOff>
                    <xdr:row>351</xdr:row>
                    <xdr:rowOff>0</xdr:rowOff>
                  </from>
                  <to>
                    <xdr:col>4</xdr:col>
                    <xdr:colOff>228600</xdr:colOff>
                    <xdr:row>351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7" r:id="rId136" name="Check Box 155">
              <controlPr defaultSize="0" autoFill="0" autoLine="0" autoPict="0">
                <anchor moveWithCells="1">
                  <from>
                    <xdr:col>4</xdr:col>
                    <xdr:colOff>19050</xdr:colOff>
                    <xdr:row>252</xdr:row>
                    <xdr:rowOff>0</xdr:rowOff>
                  </from>
                  <to>
                    <xdr:col>4</xdr:col>
                    <xdr:colOff>228600</xdr:colOff>
                    <xdr:row>252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8" r:id="rId137" name="Check Box 156">
              <controlPr defaultSize="0" autoFill="0" autoLine="0" autoPict="0">
                <anchor moveWithCells="1">
                  <from>
                    <xdr:col>4</xdr:col>
                    <xdr:colOff>19050</xdr:colOff>
                    <xdr:row>253</xdr:row>
                    <xdr:rowOff>0</xdr:rowOff>
                  </from>
                  <to>
                    <xdr:col>4</xdr:col>
                    <xdr:colOff>228600</xdr:colOff>
                    <xdr:row>253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9" r:id="rId138" name="Check Box 157">
              <controlPr defaultSize="0" autoFill="0" autoLine="0" autoPict="0">
                <anchor moveWithCells="1">
                  <from>
                    <xdr:col>4</xdr:col>
                    <xdr:colOff>19050</xdr:colOff>
                    <xdr:row>254</xdr:row>
                    <xdr:rowOff>0</xdr:rowOff>
                  </from>
                  <to>
                    <xdr:col>4</xdr:col>
                    <xdr:colOff>228600</xdr:colOff>
                    <xdr:row>254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0" r:id="rId139" name="Check Box 158">
              <controlPr defaultSize="0" autoFill="0" autoLine="0" autoPict="0">
                <anchor moveWithCells="1">
                  <from>
                    <xdr:col>4</xdr:col>
                    <xdr:colOff>19050</xdr:colOff>
                    <xdr:row>255</xdr:row>
                    <xdr:rowOff>0</xdr:rowOff>
                  </from>
                  <to>
                    <xdr:col>4</xdr:col>
                    <xdr:colOff>228600</xdr:colOff>
                    <xdr:row>255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1" r:id="rId140" name="Check Box 159">
              <controlPr defaultSize="0" autoFill="0" autoLine="0" autoPict="0">
                <anchor moveWithCells="1">
                  <from>
                    <xdr:col>4</xdr:col>
                    <xdr:colOff>19050</xdr:colOff>
                    <xdr:row>256</xdr:row>
                    <xdr:rowOff>0</xdr:rowOff>
                  </from>
                  <to>
                    <xdr:col>4</xdr:col>
                    <xdr:colOff>228600</xdr:colOff>
                    <xdr:row>256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2" r:id="rId141" name="Check Box 160">
              <controlPr defaultSize="0" autoFill="0" autoLine="0" autoPict="0">
                <anchor moveWithCells="1">
                  <from>
                    <xdr:col>4</xdr:col>
                    <xdr:colOff>19050</xdr:colOff>
                    <xdr:row>257</xdr:row>
                    <xdr:rowOff>0</xdr:rowOff>
                  </from>
                  <to>
                    <xdr:col>4</xdr:col>
                    <xdr:colOff>228600</xdr:colOff>
                    <xdr:row>257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3" r:id="rId142" name="Check Box 161">
              <controlPr defaultSize="0" autoFill="0" autoLine="0" autoPict="0">
                <anchor moveWithCells="1">
                  <from>
                    <xdr:col>4</xdr:col>
                    <xdr:colOff>19050</xdr:colOff>
                    <xdr:row>258</xdr:row>
                    <xdr:rowOff>0</xdr:rowOff>
                  </from>
                  <to>
                    <xdr:col>4</xdr:col>
                    <xdr:colOff>228600</xdr:colOff>
                    <xdr:row>258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4" r:id="rId143" name="Check Box 162">
              <controlPr defaultSize="0" autoFill="0" autoLine="0" autoPict="0">
                <anchor moveWithCells="1">
                  <from>
                    <xdr:col>4</xdr:col>
                    <xdr:colOff>19050</xdr:colOff>
                    <xdr:row>259</xdr:row>
                    <xdr:rowOff>0</xdr:rowOff>
                  </from>
                  <to>
                    <xdr:col>4</xdr:col>
                    <xdr:colOff>228600</xdr:colOff>
                    <xdr:row>259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5" r:id="rId144" name="Check Box 163">
              <controlPr defaultSize="0" autoFill="0" autoLine="0" autoPict="0">
                <anchor moveWithCells="1">
                  <from>
                    <xdr:col>4</xdr:col>
                    <xdr:colOff>19050</xdr:colOff>
                    <xdr:row>348</xdr:row>
                    <xdr:rowOff>0</xdr:rowOff>
                  </from>
                  <to>
                    <xdr:col>4</xdr:col>
                    <xdr:colOff>228600</xdr:colOff>
                    <xdr:row>348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6" r:id="rId145" name="Check Box 164">
              <controlPr defaultSize="0" autoFill="0" autoLine="0" autoPict="0">
                <anchor moveWithCells="1">
                  <from>
                    <xdr:col>4</xdr:col>
                    <xdr:colOff>19050</xdr:colOff>
                    <xdr:row>349</xdr:row>
                    <xdr:rowOff>0</xdr:rowOff>
                  </from>
                  <to>
                    <xdr:col>4</xdr:col>
                    <xdr:colOff>228600</xdr:colOff>
                    <xdr:row>349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7" r:id="rId146" name="Check Box 165">
              <controlPr defaultSize="0" autoFill="0" autoLine="0" autoPict="0">
                <anchor moveWithCells="1">
                  <from>
                    <xdr:col>4</xdr:col>
                    <xdr:colOff>19050</xdr:colOff>
                    <xdr:row>330</xdr:row>
                    <xdr:rowOff>0</xdr:rowOff>
                  </from>
                  <to>
                    <xdr:col>4</xdr:col>
                    <xdr:colOff>228600</xdr:colOff>
                    <xdr:row>330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8" r:id="rId147" name="Check Box 166">
              <controlPr defaultSize="0" autoFill="0" autoLine="0" autoPict="0">
                <anchor moveWithCells="1">
                  <from>
                    <xdr:col>4</xdr:col>
                    <xdr:colOff>19050</xdr:colOff>
                    <xdr:row>331</xdr:row>
                    <xdr:rowOff>0</xdr:rowOff>
                  </from>
                  <to>
                    <xdr:col>4</xdr:col>
                    <xdr:colOff>228600</xdr:colOff>
                    <xdr:row>331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9" r:id="rId148" name="Check Box 167">
              <controlPr defaultSize="0" autoFill="0" autoLine="0" autoPict="0">
                <anchor moveWithCells="1">
                  <from>
                    <xdr:col>4</xdr:col>
                    <xdr:colOff>19050</xdr:colOff>
                    <xdr:row>350</xdr:row>
                    <xdr:rowOff>0</xdr:rowOff>
                  </from>
                  <to>
                    <xdr:col>4</xdr:col>
                    <xdr:colOff>228600</xdr:colOff>
                    <xdr:row>350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0" r:id="rId149" name="Check Box 168">
              <controlPr defaultSize="0" autoFill="0" autoLine="0" autoPict="0">
                <anchor moveWithCells="1">
                  <from>
                    <xdr:col>4</xdr:col>
                    <xdr:colOff>19050</xdr:colOff>
                    <xdr:row>351</xdr:row>
                    <xdr:rowOff>0</xdr:rowOff>
                  </from>
                  <to>
                    <xdr:col>4</xdr:col>
                    <xdr:colOff>228600</xdr:colOff>
                    <xdr:row>351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1" r:id="rId150" name="Check Box 169">
              <controlPr defaultSize="0" autoFill="0" autoLine="0" autoPict="0">
                <anchor moveWithCells="1">
                  <from>
                    <xdr:col>4</xdr:col>
                    <xdr:colOff>19050</xdr:colOff>
                    <xdr:row>347</xdr:row>
                    <xdr:rowOff>0</xdr:rowOff>
                  </from>
                  <to>
                    <xdr:col>4</xdr:col>
                    <xdr:colOff>228600</xdr:colOff>
                    <xdr:row>347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2" r:id="rId151" name="Check Box 170">
              <controlPr defaultSize="0" autoFill="0" autoLine="0" autoPict="0">
                <anchor moveWithCells="1">
                  <from>
                    <xdr:col>4</xdr:col>
                    <xdr:colOff>19050</xdr:colOff>
                    <xdr:row>140</xdr:row>
                    <xdr:rowOff>0</xdr:rowOff>
                  </from>
                  <to>
                    <xdr:col>4</xdr:col>
                    <xdr:colOff>228600</xdr:colOff>
                    <xdr:row>140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3" r:id="rId152" name="Check Box 171">
              <controlPr defaultSize="0" autoFill="0" autoLine="0" autoPict="0">
                <anchor moveWithCells="1">
                  <from>
                    <xdr:col>4</xdr:col>
                    <xdr:colOff>19050</xdr:colOff>
                    <xdr:row>141</xdr:row>
                    <xdr:rowOff>0</xdr:rowOff>
                  </from>
                  <to>
                    <xdr:col>4</xdr:col>
                    <xdr:colOff>228600</xdr:colOff>
                    <xdr:row>141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4" r:id="rId153" name="Check Box 172">
              <controlPr defaultSize="0" autoFill="0" autoLine="0" autoPict="0">
                <anchor moveWithCells="1">
                  <from>
                    <xdr:col>4</xdr:col>
                    <xdr:colOff>19050</xdr:colOff>
                    <xdr:row>142</xdr:row>
                    <xdr:rowOff>0</xdr:rowOff>
                  </from>
                  <to>
                    <xdr:col>4</xdr:col>
                    <xdr:colOff>228600</xdr:colOff>
                    <xdr:row>142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5" r:id="rId154" name="Check Box 173">
              <controlPr defaultSize="0" autoFill="0" autoLine="0" autoPict="0">
                <anchor moveWithCells="1">
                  <from>
                    <xdr:col>4</xdr:col>
                    <xdr:colOff>19050</xdr:colOff>
                    <xdr:row>143</xdr:row>
                    <xdr:rowOff>0</xdr:rowOff>
                  </from>
                  <to>
                    <xdr:col>4</xdr:col>
                    <xdr:colOff>228600</xdr:colOff>
                    <xdr:row>143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6" r:id="rId155" name="Check Box 174">
              <controlPr defaultSize="0" autoFill="0" autoLine="0" autoPict="0">
                <anchor moveWithCells="1">
                  <from>
                    <xdr:col>4</xdr:col>
                    <xdr:colOff>19050</xdr:colOff>
                    <xdr:row>144</xdr:row>
                    <xdr:rowOff>0</xdr:rowOff>
                  </from>
                  <to>
                    <xdr:col>4</xdr:col>
                    <xdr:colOff>228600</xdr:colOff>
                    <xdr:row>144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7" r:id="rId156" name="Check Box 175">
              <controlPr defaultSize="0" autoFill="0" autoLine="0" autoPict="0">
                <anchor moveWithCells="1">
                  <from>
                    <xdr:col>4</xdr:col>
                    <xdr:colOff>19050</xdr:colOff>
                    <xdr:row>145</xdr:row>
                    <xdr:rowOff>0</xdr:rowOff>
                  </from>
                  <to>
                    <xdr:col>4</xdr:col>
                    <xdr:colOff>228600</xdr:colOff>
                    <xdr:row>145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8" r:id="rId157" name="Check Box 176">
              <controlPr defaultSize="0" autoFill="0" autoLine="0" autoPict="0">
                <anchor moveWithCells="1">
                  <from>
                    <xdr:col>4</xdr:col>
                    <xdr:colOff>19050</xdr:colOff>
                    <xdr:row>146</xdr:row>
                    <xdr:rowOff>0</xdr:rowOff>
                  </from>
                  <to>
                    <xdr:col>4</xdr:col>
                    <xdr:colOff>228600</xdr:colOff>
                    <xdr:row>146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9" r:id="rId158" name="Check Box 177">
              <controlPr defaultSize="0" autoFill="0" autoLine="0" autoPict="0">
                <anchor moveWithCells="1">
                  <from>
                    <xdr:col>4</xdr:col>
                    <xdr:colOff>19050</xdr:colOff>
                    <xdr:row>147</xdr:row>
                    <xdr:rowOff>0</xdr:rowOff>
                  </from>
                  <to>
                    <xdr:col>4</xdr:col>
                    <xdr:colOff>228600</xdr:colOff>
                    <xdr:row>147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0" r:id="rId159" name="Check Box 178">
              <controlPr defaultSize="0" autoFill="0" autoLine="0" autoPict="0">
                <anchor moveWithCells="1">
                  <from>
                    <xdr:col>4</xdr:col>
                    <xdr:colOff>19050</xdr:colOff>
                    <xdr:row>148</xdr:row>
                    <xdr:rowOff>0</xdr:rowOff>
                  </from>
                  <to>
                    <xdr:col>4</xdr:col>
                    <xdr:colOff>228600</xdr:colOff>
                    <xdr:row>148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1" r:id="rId160" name="Check Box 179">
              <controlPr defaultSize="0" autoFill="0" autoLine="0" autoPict="0">
                <anchor moveWithCells="1">
                  <from>
                    <xdr:col>4</xdr:col>
                    <xdr:colOff>19050</xdr:colOff>
                    <xdr:row>149</xdr:row>
                    <xdr:rowOff>0</xdr:rowOff>
                  </from>
                  <to>
                    <xdr:col>4</xdr:col>
                    <xdr:colOff>228600</xdr:colOff>
                    <xdr:row>149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2" r:id="rId161" name="Check Box 180">
              <controlPr defaultSize="0" autoFill="0" autoLine="0" autoPict="0">
                <anchor moveWithCells="1">
                  <from>
                    <xdr:col>4</xdr:col>
                    <xdr:colOff>19050</xdr:colOff>
                    <xdr:row>150</xdr:row>
                    <xdr:rowOff>0</xdr:rowOff>
                  </from>
                  <to>
                    <xdr:col>4</xdr:col>
                    <xdr:colOff>228600</xdr:colOff>
                    <xdr:row>150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3" r:id="rId162" name="Check Box 181">
              <controlPr defaultSize="0" autoFill="0" autoLine="0" autoPict="0">
                <anchor moveWithCells="1">
                  <from>
                    <xdr:col>4</xdr:col>
                    <xdr:colOff>19050</xdr:colOff>
                    <xdr:row>151</xdr:row>
                    <xdr:rowOff>0</xdr:rowOff>
                  </from>
                  <to>
                    <xdr:col>4</xdr:col>
                    <xdr:colOff>228600</xdr:colOff>
                    <xdr:row>151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4" r:id="rId163" name="Check Box 182">
              <controlPr defaultSize="0" autoFill="0" autoLine="0" autoPict="0">
                <anchor moveWithCells="1">
                  <from>
                    <xdr:col>4</xdr:col>
                    <xdr:colOff>19050</xdr:colOff>
                    <xdr:row>346</xdr:row>
                    <xdr:rowOff>0</xdr:rowOff>
                  </from>
                  <to>
                    <xdr:col>4</xdr:col>
                    <xdr:colOff>228600</xdr:colOff>
                    <xdr:row>346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5" r:id="rId164" name="Check Box 183">
              <controlPr defaultSize="0" autoFill="0" autoLine="0" autoPict="0">
                <anchor moveWithCells="1">
                  <from>
                    <xdr:col>4</xdr:col>
                    <xdr:colOff>19050</xdr:colOff>
                    <xdr:row>347</xdr:row>
                    <xdr:rowOff>0</xdr:rowOff>
                  </from>
                  <to>
                    <xdr:col>4</xdr:col>
                    <xdr:colOff>228600</xdr:colOff>
                    <xdr:row>347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8" r:id="rId165" name="Check Box 186">
              <controlPr defaultSize="0" autoFill="0" autoLine="0" autoPict="0">
                <anchor moveWithCells="1">
                  <from>
                    <xdr:col>4</xdr:col>
                    <xdr:colOff>19050</xdr:colOff>
                    <xdr:row>345</xdr:row>
                    <xdr:rowOff>0</xdr:rowOff>
                  </from>
                  <to>
                    <xdr:col>4</xdr:col>
                    <xdr:colOff>228600</xdr:colOff>
                    <xdr:row>345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9" r:id="rId166" name="Check Box 187">
              <controlPr defaultSize="0" autoFill="0" autoLine="0" autoPict="0">
                <anchor moveWithCells="1">
                  <from>
                    <xdr:col>4</xdr:col>
                    <xdr:colOff>19050</xdr:colOff>
                    <xdr:row>334</xdr:row>
                    <xdr:rowOff>0</xdr:rowOff>
                  </from>
                  <to>
                    <xdr:col>4</xdr:col>
                    <xdr:colOff>228600</xdr:colOff>
                    <xdr:row>334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0" r:id="rId167" name="Check Box 188">
              <controlPr defaultSize="0" autoFill="0" autoLine="0" autoPict="0">
                <anchor moveWithCells="1">
                  <from>
                    <xdr:col>4</xdr:col>
                    <xdr:colOff>19050</xdr:colOff>
                    <xdr:row>335</xdr:row>
                    <xdr:rowOff>0</xdr:rowOff>
                  </from>
                  <to>
                    <xdr:col>4</xdr:col>
                    <xdr:colOff>228600</xdr:colOff>
                    <xdr:row>335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1" r:id="rId168" name="Check Box 189">
              <controlPr defaultSize="0" autoFill="0" autoLine="0" autoPict="0">
                <anchor moveWithCells="1">
                  <from>
                    <xdr:col>4</xdr:col>
                    <xdr:colOff>19050</xdr:colOff>
                    <xdr:row>336</xdr:row>
                    <xdr:rowOff>0</xdr:rowOff>
                  </from>
                  <to>
                    <xdr:col>4</xdr:col>
                    <xdr:colOff>228600</xdr:colOff>
                    <xdr:row>336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2" r:id="rId169" name="Check Box 190">
              <controlPr defaultSize="0" autoFill="0" autoLine="0" autoPict="0">
                <anchor moveWithCells="1">
                  <from>
                    <xdr:col>4</xdr:col>
                    <xdr:colOff>19050</xdr:colOff>
                    <xdr:row>337</xdr:row>
                    <xdr:rowOff>0</xdr:rowOff>
                  </from>
                  <to>
                    <xdr:col>4</xdr:col>
                    <xdr:colOff>228600</xdr:colOff>
                    <xdr:row>337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3" r:id="rId170" name="Check Box 191">
              <controlPr defaultSize="0" autoFill="0" autoLine="0" autoPict="0">
                <anchor moveWithCells="1">
                  <from>
                    <xdr:col>4</xdr:col>
                    <xdr:colOff>19050</xdr:colOff>
                    <xdr:row>338</xdr:row>
                    <xdr:rowOff>0</xdr:rowOff>
                  </from>
                  <to>
                    <xdr:col>4</xdr:col>
                    <xdr:colOff>228600</xdr:colOff>
                    <xdr:row>338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4" r:id="rId171" name="Check Box 192">
              <controlPr defaultSize="0" autoFill="0" autoLine="0" autoPict="0">
                <anchor moveWithCells="1">
                  <from>
                    <xdr:col>4</xdr:col>
                    <xdr:colOff>19050</xdr:colOff>
                    <xdr:row>339</xdr:row>
                    <xdr:rowOff>0</xdr:rowOff>
                  </from>
                  <to>
                    <xdr:col>4</xdr:col>
                    <xdr:colOff>228600</xdr:colOff>
                    <xdr:row>339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5" r:id="rId172" name="Check Box 193">
              <controlPr defaultSize="0" autoFill="0" autoLine="0" autoPict="0">
                <anchor moveWithCells="1">
                  <from>
                    <xdr:col>4</xdr:col>
                    <xdr:colOff>19050</xdr:colOff>
                    <xdr:row>340</xdr:row>
                    <xdr:rowOff>0</xdr:rowOff>
                  </from>
                  <to>
                    <xdr:col>4</xdr:col>
                    <xdr:colOff>228600</xdr:colOff>
                    <xdr:row>340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6" r:id="rId173" name="Check Box 194">
              <controlPr defaultSize="0" autoFill="0" autoLine="0" autoPict="0">
                <anchor moveWithCells="1">
                  <from>
                    <xdr:col>4</xdr:col>
                    <xdr:colOff>19050</xdr:colOff>
                    <xdr:row>341</xdr:row>
                    <xdr:rowOff>0</xdr:rowOff>
                  </from>
                  <to>
                    <xdr:col>4</xdr:col>
                    <xdr:colOff>228600</xdr:colOff>
                    <xdr:row>341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7" r:id="rId174" name="Check Box 195">
              <controlPr defaultSize="0" autoFill="0" autoLine="0" autoPict="0">
                <anchor moveWithCells="1">
                  <from>
                    <xdr:col>4</xdr:col>
                    <xdr:colOff>19050</xdr:colOff>
                    <xdr:row>310</xdr:row>
                    <xdr:rowOff>0</xdr:rowOff>
                  </from>
                  <to>
                    <xdr:col>4</xdr:col>
                    <xdr:colOff>228600</xdr:colOff>
                    <xdr:row>310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8" r:id="rId175" name="Check Box 196">
              <controlPr defaultSize="0" autoFill="0" autoLine="0" autoPict="0">
                <anchor moveWithCells="1">
                  <from>
                    <xdr:col>4</xdr:col>
                    <xdr:colOff>19050</xdr:colOff>
                    <xdr:row>311</xdr:row>
                    <xdr:rowOff>0</xdr:rowOff>
                  </from>
                  <to>
                    <xdr:col>4</xdr:col>
                    <xdr:colOff>228600</xdr:colOff>
                    <xdr:row>311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9" r:id="rId176" name="Check Box 197">
              <controlPr defaultSize="0" autoFill="0" autoLine="0" autoPict="0">
                <anchor moveWithCells="1">
                  <from>
                    <xdr:col>4</xdr:col>
                    <xdr:colOff>19050</xdr:colOff>
                    <xdr:row>342</xdr:row>
                    <xdr:rowOff>0</xdr:rowOff>
                  </from>
                  <to>
                    <xdr:col>4</xdr:col>
                    <xdr:colOff>228600</xdr:colOff>
                    <xdr:row>342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0" r:id="rId177" name="Check Box 198">
              <controlPr defaultSize="0" autoFill="0" autoLine="0" autoPict="0">
                <anchor moveWithCells="1">
                  <from>
                    <xdr:col>4</xdr:col>
                    <xdr:colOff>19050</xdr:colOff>
                    <xdr:row>343</xdr:row>
                    <xdr:rowOff>0</xdr:rowOff>
                  </from>
                  <to>
                    <xdr:col>4</xdr:col>
                    <xdr:colOff>228600</xdr:colOff>
                    <xdr:row>343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1" r:id="rId178" name="Check Box 199">
              <controlPr defaultSize="0" autoFill="0" autoLine="0" autoPict="0">
                <anchor moveWithCells="1">
                  <from>
                    <xdr:col>4</xdr:col>
                    <xdr:colOff>19050</xdr:colOff>
                    <xdr:row>344</xdr:row>
                    <xdr:rowOff>0</xdr:rowOff>
                  </from>
                  <to>
                    <xdr:col>4</xdr:col>
                    <xdr:colOff>228600</xdr:colOff>
                    <xdr:row>344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2" r:id="rId179" name="Check Box 200">
              <controlPr defaultSize="0" autoFill="0" autoLine="0" autoPict="0">
                <anchor moveWithCells="1">
                  <from>
                    <xdr:col>4</xdr:col>
                    <xdr:colOff>19050</xdr:colOff>
                    <xdr:row>345</xdr:row>
                    <xdr:rowOff>0</xdr:rowOff>
                  </from>
                  <to>
                    <xdr:col>4</xdr:col>
                    <xdr:colOff>228600</xdr:colOff>
                    <xdr:row>345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3" r:id="rId180" name="Check Box 201">
              <controlPr defaultSize="0" autoFill="0" autoLine="0" autoPict="0">
                <anchor moveWithCells="1">
                  <from>
                    <xdr:col>4</xdr:col>
                    <xdr:colOff>19050</xdr:colOff>
                    <xdr:row>333</xdr:row>
                    <xdr:rowOff>0</xdr:rowOff>
                  </from>
                  <to>
                    <xdr:col>4</xdr:col>
                    <xdr:colOff>228600</xdr:colOff>
                    <xdr:row>333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4" r:id="rId181" name="Check Box 202">
              <controlPr defaultSize="0" autoFill="0" autoLine="0" autoPict="0">
                <anchor moveWithCells="1">
                  <from>
                    <xdr:col>4</xdr:col>
                    <xdr:colOff>19050</xdr:colOff>
                    <xdr:row>318</xdr:row>
                    <xdr:rowOff>0</xdr:rowOff>
                  </from>
                  <to>
                    <xdr:col>4</xdr:col>
                    <xdr:colOff>228600</xdr:colOff>
                    <xdr:row>318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5" r:id="rId182" name="Check Box 203">
              <controlPr defaultSize="0" autoFill="0" autoLine="0" autoPict="0">
                <anchor moveWithCells="1">
                  <from>
                    <xdr:col>4</xdr:col>
                    <xdr:colOff>19050</xdr:colOff>
                    <xdr:row>319</xdr:row>
                    <xdr:rowOff>0</xdr:rowOff>
                  </from>
                  <to>
                    <xdr:col>4</xdr:col>
                    <xdr:colOff>228600</xdr:colOff>
                    <xdr:row>319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6" r:id="rId183" name="Check Box 204">
              <controlPr defaultSize="0" autoFill="0" autoLine="0" autoPict="0">
                <anchor moveWithCells="1">
                  <from>
                    <xdr:col>4</xdr:col>
                    <xdr:colOff>19050</xdr:colOff>
                    <xdr:row>320</xdr:row>
                    <xdr:rowOff>0</xdr:rowOff>
                  </from>
                  <to>
                    <xdr:col>4</xdr:col>
                    <xdr:colOff>228600</xdr:colOff>
                    <xdr:row>320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7" r:id="rId184" name="Check Box 205">
              <controlPr defaultSize="0" autoFill="0" autoLine="0" autoPict="0">
                <anchor moveWithCells="1">
                  <from>
                    <xdr:col>4</xdr:col>
                    <xdr:colOff>19050</xdr:colOff>
                    <xdr:row>321</xdr:row>
                    <xdr:rowOff>0</xdr:rowOff>
                  </from>
                  <to>
                    <xdr:col>4</xdr:col>
                    <xdr:colOff>228600</xdr:colOff>
                    <xdr:row>321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8" r:id="rId185" name="Check Box 206">
              <controlPr defaultSize="0" autoFill="0" autoLine="0" autoPict="0">
                <anchor moveWithCells="1">
                  <from>
                    <xdr:col>4</xdr:col>
                    <xdr:colOff>19050</xdr:colOff>
                    <xdr:row>322</xdr:row>
                    <xdr:rowOff>0</xdr:rowOff>
                  </from>
                  <to>
                    <xdr:col>4</xdr:col>
                    <xdr:colOff>228600</xdr:colOff>
                    <xdr:row>322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9" r:id="rId186" name="Check Box 207">
              <controlPr defaultSize="0" autoFill="0" autoLine="0" autoPict="0">
                <anchor moveWithCells="1">
                  <from>
                    <xdr:col>4</xdr:col>
                    <xdr:colOff>19050</xdr:colOff>
                    <xdr:row>323</xdr:row>
                    <xdr:rowOff>0</xdr:rowOff>
                  </from>
                  <to>
                    <xdr:col>4</xdr:col>
                    <xdr:colOff>228600</xdr:colOff>
                    <xdr:row>323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0" r:id="rId187" name="Check Box 208">
              <controlPr defaultSize="0" autoFill="0" autoLine="0" autoPict="0">
                <anchor moveWithCells="1">
                  <from>
                    <xdr:col>4</xdr:col>
                    <xdr:colOff>19050</xdr:colOff>
                    <xdr:row>324</xdr:row>
                    <xdr:rowOff>0</xdr:rowOff>
                  </from>
                  <to>
                    <xdr:col>4</xdr:col>
                    <xdr:colOff>228600</xdr:colOff>
                    <xdr:row>324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1" r:id="rId188" name="Check Box 209">
              <controlPr defaultSize="0" autoFill="0" autoLine="0" autoPict="0">
                <anchor moveWithCells="1">
                  <from>
                    <xdr:col>4</xdr:col>
                    <xdr:colOff>19050</xdr:colOff>
                    <xdr:row>325</xdr:row>
                    <xdr:rowOff>0</xdr:rowOff>
                  </from>
                  <to>
                    <xdr:col>4</xdr:col>
                    <xdr:colOff>228600</xdr:colOff>
                    <xdr:row>325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2" r:id="rId189" name="Check Box 210">
              <controlPr defaultSize="0" autoFill="0" autoLine="0" autoPict="0">
                <anchor moveWithCells="1">
                  <from>
                    <xdr:col>4</xdr:col>
                    <xdr:colOff>19050</xdr:colOff>
                    <xdr:row>326</xdr:row>
                    <xdr:rowOff>0</xdr:rowOff>
                  </from>
                  <to>
                    <xdr:col>4</xdr:col>
                    <xdr:colOff>228600</xdr:colOff>
                    <xdr:row>326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3" r:id="rId190" name="Check Box 211">
              <controlPr defaultSize="0" autoFill="0" autoLine="0" autoPict="0">
                <anchor moveWithCells="1">
                  <from>
                    <xdr:col>4</xdr:col>
                    <xdr:colOff>19050</xdr:colOff>
                    <xdr:row>327</xdr:row>
                    <xdr:rowOff>0</xdr:rowOff>
                  </from>
                  <to>
                    <xdr:col>4</xdr:col>
                    <xdr:colOff>228600</xdr:colOff>
                    <xdr:row>327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4" r:id="rId191" name="Check Box 212">
              <controlPr defaultSize="0" autoFill="0" autoLine="0" autoPict="0">
                <anchor moveWithCells="1">
                  <from>
                    <xdr:col>4</xdr:col>
                    <xdr:colOff>19050</xdr:colOff>
                    <xdr:row>328</xdr:row>
                    <xdr:rowOff>0</xdr:rowOff>
                  </from>
                  <to>
                    <xdr:col>4</xdr:col>
                    <xdr:colOff>228600</xdr:colOff>
                    <xdr:row>328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5" r:id="rId192" name="Check Box 213">
              <controlPr defaultSize="0" autoFill="0" autoLine="0" autoPict="0">
                <anchor moveWithCells="1">
                  <from>
                    <xdr:col>4</xdr:col>
                    <xdr:colOff>19050</xdr:colOff>
                    <xdr:row>329</xdr:row>
                    <xdr:rowOff>0</xdr:rowOff>
                  </from>
                  <to>
                    <xdr:col>4</xdr:col>
                    <xdr:colOff>228600</xdr:colOff>
                    <xdr:row>329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6" r:id="rId193" name="Check Box 214">
              <controlPr defaultSize="0" autoFill="0" autoLine="0" autoPict="0">
                <anchor moveWithCells="1">
                  <from>
                    <xdr:col>4</xdr:col>
                    <xdr:colOff>19050</xdr:colOff>
                    <xdr:row>332</xdr:row>
                    <xdr:rowOff>0</xdr:rowOff>
                  </from>
                  <to>
                    <xdr:col>4</xdr:col>
                    <xdr:colOff>228600</xdr:colOff>
                    <xdr:row>332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7" r:id="rId194" name="Check Box 215">
              <controlPr defaultSize="0" autoFill="0" autoLine="0" autoPict="0">
                <anchor moveWithCells="1">
                  <from>
                    <xdr:col>4</xdr:col>
                    <xdr:colOff>19050</xdr:colOff>
                    <xdr:row>333</xdr:row>
                    <xdr:rowOff>0</xdr:rowOff>
                  </from>
                  <to>
                    <xdr:col>4</xdr:col>
                    <xdr:colOff>228600</xdr:colOff>
                    <xdr:row>333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8" r:id="rId195" name="Check Box 216">
              <controlPr defaultSize="0" autoFill="0" autoLine="0" autoPict="0">
                <anchor moveWithCells="1">
                  <from>
                    <xdr:col>4</xdr:col>
                    <xdr:colOff>19050</xdr:colOff>
                    <xdr:row>275</xdr:row>
                    <xdr:rowOff>0</xdr:rowOff>
                  </from>
                  <to>
                    <xdr:col>4</xdr:col>
                    <xdr:colOff>228600</xdr:colOff>
                    <xdr:row>275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9" r:id="rId196" name="Check Box 217">
              <controlPr defaultSize="0" autoFill="0" autoLine="0" autoPict="0">
                <anchor moveWithCells="1">
                  <from>
                    <xdr:col>4</xdr:col>
                    <xdr:colOff>19050</xdr:colOff>
                    <xdr:row>270</xdr:row>
                    <xdr:rowOff>0</xdr:rowOff>
                  </from>
                  <to>
                    <xdr:col>4</xdr:col>
                    <xdr:colOff>228600</xdr:colOff>
                    <xdr:row>270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0" r:id="rId197" name="Check Box 218">
              <controlPr defaultSize="0" autoFill="0" autoLine="0" autoPict="0">
                <anchor moveWithCells="1">
                  <from>
                    <xdr:col>4</xdr:col>
                    <xdr:colOff>19050</xdr:colOff>
                    <xdr:row>271</xdr:row>
                    <xdr:rowOff>0</xdr:rowOff>
                  </from>
                  <to>
                    <xdr:col>4</xdr:col>
                    <xdr:colOff>228600</xdr:colOff>
                    <xdr:row>271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1" r:id="rId198" name="Check Box 219">
              <controlPr defaultSize="0" autoFill="0" autoLine="0" autoPict="0">
                <anchor moveWithCells="1">
                  <from>
                    <xdr:col>4</xdr:col>
                    <xdr:colOff>19050</xdr:colOff>
                    <xdr:row>272</xdr:row>
                    <xdr:rowOff>0</xdr:rowOff>
                  </from>
                  <to>
                    <xdr:col>4</xdr:col>
                    <xdr:colOff>228600</xdr:colOff>
                    <xdr:row>272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2" r:id="rId199" name="Check Box 220">
              <controlPr defaultSize="0" autoFill="0" autoLine="0" autoPict="0">
                <anchor moveWithCells="1">
                  <from>
                    <xdr:col>4</xdr:col>
                    <xdr:colOff>19050</xdr:colOff>
                    <xdr:row>273</xdr:row>
                    <xdr:rowOff>0</xdr:rowOff>
                  </from>
                  <to>
                    <xdr:col>4</xdr:col>
                    <xdr:colOff>228600</xdr:colOff>
                    <xdr:row>273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3" r:id="rId200" name="Check Box 221">
              <controlPr defaultSize="0" autoFill="0" autoLine="0" autoPict="0">
                <anchor moveWithCells="1">
                  <from>
                    <xdr:col>4</xdr:col>
                    <xdr:colOff>19050</xdr:colOff>
                    <xdr:row>274</xdr:row>
                    <xdr:rowOff>0</xdr:rowOff>
                  </from>
                  <to>
                    <xdr:col>4</xdr:col>
                    <xdr:colOff>228600</xdr:colOff>
                    <xdr:row>274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4" r:id="rId201" name="Check Box 222">
              <controlPr defaultSize="0" autoFill="0" autoLine="0" autoPict="0">
                <anchor moveWithCells="1">
                  <from>
                    <xdr:col>4</xdr:col>
                    <xdr:colOff>19050</xdr:colOff>
                    <xdr:row>275</xdr:row>
                    <xdr:rowOff>0</xdr:rowOff>
                  </from>
                  <to>
                    <xdr:col>4</xdr:col>
                    <xdr:colOff>228600</xdr:colOff>
                    <xdr:row>275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5" r:id="rId202" name="Check Box 223">
              <controlPr defaultSize="0" autoFill="0" autoLine="0" autoPict="0">
                <anchor moveWithCells="1">
                  <from>
                    <xdr:col>4</xdr:col>
                    <xdr:colOff>19050</xdr:colOff>
                    <xdr:row>269</xdr:row>
                    <xdr:rowOff>0</xdr:rowOff>
                  </from>
                  <to>
                    <xdr:col>4</xdr:col>
                    <xdr:colOff>228600</xdr:colOff>
                    <xdr:row>269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6" r:id="rId203" name="Check Box 224">
              <controlPr defaultSize="0" autoFill="0" autoLine="0" autoPict="0">
                <anchor moveWithCells="1">
                  <from>
                    <xdr:col>4</xdr:col>
                    <xdr:colOff>19050</xdr:colOff>
                    <xdr:row>268</xdr:row>
                    <xdr:rowOff>0</xdr:rowOff>
                  </from>
                  <to>
                    <xdr:col>4</xdr:col>
                    <xdr:colOff>228600</xdr:colOff>
                    <xdr:row>268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7" r:id="rId204" name="Check Box 225">
              <controlPr defaultSize="0" autoFill="0" autoLine="0" autoPict="0">
                <anchor moveWithCells="1">
                  <from>
                    <xdr:col>4</xdr:col>
                    <xdr:colOff>19050</xdr:colOff>
                    <xdr:row>269</xdr:row>
                    <xdr:rowOff>0</xdr:rowOff>
                  </from>
                  <to>
                    <xdr:col>4</xdr:col>
                    <xdr:colOff>228600</xdr:colOff>
                    <xdr:row>269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1" r:id="rId205" name="Check Box 229">
              <controlPr defaultSize="0" autoFill="0" autoLine="0" autoPict="0">
                <anchor moveWithCells="1">
                  <from>
                    <xdr:col>4</xdr:col>
                    <xdr:colOff>19050</xdr:colOff>
                    <xdr:row>81</xdr:row>
                    <xdr:rowOff>0</xdr:rowOff>
                  </from>
                  <to>
                    <xdr:col>4</xdr:col>
                    <xdr:colOff>228600</xdr:colOff>
                    <xdr:row>81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2" r:id="rId206" name="Check Box 230">
              <controlPr defaultSize="0" autoFill="0" autoLine="0" autoPict="0">
                <anchor moveWithCells="1">
                  <from>
                    <xdr:col>4</xdr:col>
                    <xdr:colOff>19050</xdr:colOff>
                    <xdr:row>278</xdr:row>
                    <xdr:rowOff>0</xdr:rowOff>
                  </from>
                  <to>
                    <xdr:col>4</xdr:col>
                    <xdr:colOff>228600</xdr:colOff>
                    <xdr:row>278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3" r:id="rId207" name="Check Box 231">
              <controlPr defaultSize="0" autoFill="0" autoLine="0" autoPict="0">
                <anchor moveWithCells="1">
                  <from>
                    <xdr:col>4</xdr:col>
                    <xdr:colOff>19050</xdr:colOff>
                    <xdr:row>279</xdr:row>
                    <xdr:rowOff>0</xdr:rowOff>
                  </from>
                  <to>
                    <xdr:col>4</xdr:col>
                    <xdr:colOff>228600</xdr:colOff>
                    <xdr:row>279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4" r:id="rId208" name="Check Box 232">
              <controlPr defaultSize="0" autoFill="0" autoLine="0" autoPict="0">
                <anchor moveWithCells="1">
                  <from>
                    <xdr:col>4</xdr:col>
                    <xdr:colOff>19050</xdr:colOff>
                    <xdr:row>280</xdr:row>
                    <xdr:rowOff>0</xdr:rowOff>
                  </from>
                  <to>
                    <xdr:col>4</xdr:col>
                    <xdr:colOff>228600</xdr:colOff>
                    <xdr:row>280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5" r:id="rId209" name="Check Box 233">
              <controlPr defaultSize="0" autoFill="0" autoLine="0" autoPict="0">
                <anchor moveWithCells="1">
                  <from>
                    <xdr:col>4</xdr:col>
                    <xdr:colOff>19050</xdr:colOff>
                    <xdr:row>281</xdr:row>
                    <xdr:rowOff>0</xdr:rowOff>
                  </from>
                  <to>
                    <xdr:col>4</xdr:col>
                    <xdr:colOff>228600</xdr:colOff>
                    <xdr:row>281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6" r:id="rId210" name="Check Box 234">
              <controlPr defaultSize="0" autoFill="0" autoLine="0" autoPict="0">
                <anchor moveWithCells="1">
                  <from>
                    <xdr:col>4</xdr:col>
                    <xdr:colOff>19050</xdr:colOff>
                    <xdr:row>282</xdr:row>
                    <xdr:rowOff>0</xdr:rowOff>
                  </from>
                  <to>
                    <xdr:col>4</xdr:col>
                    <xdr:colOff>228600</xdr:colOff>
                    <xdr:row>282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7" r:id="rId211" name="Check Box 235">
              <controlPr defaultSize="0" autoFill="0" autoLine="0" autoPict="0">
                <anchor moveWithCells="1">
                  <from>
                    <xdr:col>4</xdr:col>
                    <xdr:colOff>19050</xdr:colOff>
                    <xdr:row>283</xdr:row>
                    <xdr:rowOff>0</xdr:rowOff>
                  </from>
                  <to>
                    <xdr:col>4</xdr:col>
                    <xdr:colOff>228600</xdr:colOff>
                    <xdr:row>283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8" r:id="rId212" name="Check Box 236">
              <controlPr defaultSize="0" autoFill="0" autoLine="0" autoPict="0">
                <anchor moveWithCells="1">
                  <from>
                    <xdr:col>4</xdr:col>
                    <xdr:colOff>19050</xdr:colOff>
                    <xdr:row>74</xdr:row>
                    <xdr:rowOff>0</xdr:rowOff>
                  </from>
                  <to>
                    <xdr:col>4</xdr:col>
                    <xdr:colOff>228600</xdr:colOff>
                    <xdr:row>74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9" r:id="rId213" name="Check Box 237">
              <controlPr defaultSize="0" autoFill="0" autoLine="0" autoPict="0">
                <anchor moveWithCells="1">
                  <from>
                    <xdr:col>4</xdr:col>
                    <xdr:colOff>19050</xdr:colOff>
                    <xdr:row>75</xdr:row>
                    <xdr:rowOff>0</xdr:rowOff>
                  </from>
                  <to>
                    <xdr:col>4</xdr:col>
                    <xdr:colOff>228600</xdr:colOff>
                    <xdr:row>75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0" r:id="rId214" name="Check Box 238">
              <controlPr defaultSize="0" autoFill="0" autoLine="0" autoPict="0">
                <anchor moveWithCells="1">
                  <from>
                    <xdr:col>4</xdr:col>
                    <xdr:colOff>19050</xdr:colOff>
                    <xdr:row>76</xdr:row>
                    <xdr:rowOff>0</xdr:rowOff>
                  </from>
                  <to>
                    <xdr:col>4</xdr:col>
                    <xdr:colOff>228600</xdr:colOff>
                    <xdr:row>76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1" r:id="rId215" name="Check Box 239">
              <controlPr defaultSize="0" autoFill="0" autoLine="0" autoPict="0">
                <anchor moveWithCells="1">
                  <from>
                    <xdr:col>4</xdr:col>
                    <xdr:colOff>19050</xdr:colOff>
                    <xdr:row>77</xdr:row>
                    <xdr:rowOff>0</xdr:rowOff>
                  </from>
                  <to>
                    <xdr:col>4</xdr:col>
                    <xdr:colOff>228600</xdr:colOff>
                    <xdr:row>77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2" r:id="rId216" name="Check Box 240">
              <controlPr defaultSize="0" autoFill="0" autoLine="0" autoPict="0">
                <anchor moveWithCells="1">
                  <from>
                    <xdr:col>4</xdr:col>
                    <xdr:colOff>19050</xdr:colOff>
                    <xdr:row>78</xdr:row>
                    <xdr:rowOff>0</xdr:rowOff>
                  </from>
                  <to>
                    <xdr:col>4</xdr:col>
                    <xdr:colOff>228600</xdr:colOff>
                    <xdr:row>78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3" r:id="rId217" name="Check Box 241">
              <controlPr defaultSize="0" autoFill="0" autoLine="0" autoPict="0">
                <anchor moveWithCells="1">
                  <from>
                    <xdr:col>4</xdr:col>
                    <xdr:colOff>19050</xdr:colOff>
                    <xdr:row>79</xdr:row>
                    <xdr:rowOff>0</xdr:rowOff>
                  </from>
                  <to>
                    <xdr:col>4</xdr:col>
                    <xdr:colOff>228600</xdr:colOff>
                    <xdr:row>79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4" r:id="rId218" name="Check Box 242">
              <controlPr defaultSize="0" autoFill="0" autoLine="0" autoPict="0">
                <anchor moveWithCells="1">
                  <from>
                    <xdr:col>4</xdr:col>
                    <xdr:colOff>19050</xdr:colOff>
                    <xdr:row>80</xdr:row>
                    <xdr:rowOff>0</xdr:rowOff>
                  </from>
                  <to>
                    <xdr:col>4</xdr:col>
                    <xdr:colOff>228600</xdr:colOff>
                    <xdr:row>80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5" r:id="rId219" name="Check Box 243">
              <controlPr defaultSize="0" autoFill="0" autoLine="0" autoPict="0">
                <anchor moveWithCells="1">
                  <from>
                    <xdr:col>4</xdr:col>
                    <xdr:colOff>19050</xdr:colOff>
                    <xdr:row>81</xdr:row>
                    <xdr:rowOff>0</xdr:rowOff>
                  </from>
                  <to>
                    <xdr:col>4</xdr:col>
                    <xdr:colOff>228600</xdr:colOff>
                    <xdr:row>81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6" r:id="rId220" name="Check Box 244">
              <controlPr defaultSize="0" autoFill="0" autoLine="0" autoPict="0">
                <anchor moveWithCells="1">
                  <from>
                    <xdr:col>4</xdr:col>
                    <xdr:colOff>19050</xdr:colOff>
                    <xdr:row>277</xdr:row>
                    <xdr:rowOff>0</xdr:rowOff>
                  </from>
                  <to>
                    <xdr:col>4</xdr:col>
                    <xdr:colOff>228600</xdr:colOff>
                    <xdr:row>277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7" r:id="rId221" name="Check Box 245">
              <controlPr defaultSize="0" autoFill="0" autoLine="0" autoPict="0">
                <anchor moveWithCells="1">
                  <from>
                    <xdr:col>4</xdr:col>
                    <xdr:colOff>19050</xdr:colOff>
                    <xdr:row>114</xdr:row>
                    <xdr:rowOff>0</xdr:rowOff>
                  </from>
                  <to>
                    <xdr:col>4</xdr:col>
                    <xdr:colOff>228600</xdr:colOff>
                    <xdr:row>114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8" r:id="rId222" name="Check Box 246">
              <controlPr defaultSize="0" autoFill="0" autoLine="0" autoPict="0">
                <anchor moveWithCells="1">
                  <from>
                    <xdr:col>4</xdr:col>
                    <xdr:colOff>19050</xdr:colOff>
                    <xdr:row>115</xdr:row>
                    <xdr:rowOff>0</xdr:rowOff>
                  </from>
                  <to>
                    <xdr:col>4</xdr:col>
                    <xdr:colOff>228600</xdr:colOff>
                    <xdr:row>115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9" r:id="rId223" name="Check Box 247">
              <controlPr defaultSize="0" autoFill="0" autoLine="0" autoPict="0">
                <anchor moveWithCells="1">
                  <from>
                    <xdr:col>4</xdr:col>
                    <xdr:colOff>19050</xdr:colOff>
                    <xdr:row>116</xdr:row>
                    <xdr:rowOff>0</xdr:rowOff>
                  </from>
                  <to>
                    <xdr:col>4</xdr:col>
                    <xdr:colOff>228600</xdr:colOff>
                    <xdr:row>116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0" r:id="rId224" name="Check Box 248">
              <controlPr defaultSize="0" autoFill="0" autoLine="0" autoPict="0">
                <anchor moveWithCells="1">
                  <from>
                    <xdr:col>4</xdr:col>
                    <xdr:colOff>19050</xdr:colOff>
                    <xdr:row>117</xdr:row>
                    <xdr:rowOff>0</xdr:rowOff>
                  </from>
                  <to>
                    <xdr:col>4</xdr:col>
                    <xdr:colOff>228600</xdr:colOff>
                    <xdr:row>117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1" r:id="rId225" name="Check Box 249">
              <controlPr defaultSize="0" autoFill="0" autoLine="0" autoPict="0">
                <anchor moveWithCells="1">
                  <from>
                    <xdr:col>4</xdr:col>
                    <xdr:colOff>19050</xdr:colOff>
                    <xdr:row>152</xdr:row>
                    <xdr:rowOff>0</xdr:rowOff>
                  </from>
                  <to>
                    <xdr:col>4</xdr:col>
                    <xdr:colOff>228600</xdr:colOff>
                    <xdr:row>152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2" r:id="rId226" name="Check Box 250">
              <controlPr defaultSize="0" autoFill="0" autoLine="0" autoPict="0">
                <anchor moveWithCells="1">
                  <from>
                    <xdr:col>4</xdr:col>
                    <xdr:colOff>19050</xdr:colOff>
                    <xdr:row>153</xdr:row>
                    <xdr:rowOff>0</xdr:rowOff>
                  </from>
                  <to>
                    <xdr:col>4</xdr:col>
                    <xdr:colOff>228600</xdr:colOff>
                    <xdr:row>153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3" r:id="rId227" name="Check Box 251">
              <controlPr defaultSize="0" autoFill="0" autoLine="0" autoPict="0">
                <anchor moveWithCells="1">
                  <from>
                    <xdr:col>4</xdr:col>
                    <xdr:colOff>19050</xdr:colOff>
                    <xdr:row>154</xdr:row>
                    <xdr:rowOff>0</xdr:rowOff>
                  </from>
                  <to>
                    <xdr:col>4</xdr:col>
                    <xdr:colOff>228600</xdr:colOff>
                    <xdr:row>154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4" r:id="rId228" name="Check Box 252">
              <controlPr defaultSize="0" autoFill="0" autoLine="0" autoPict="0">
                <anchor moveWithCells="1">
                  <from>
                    <xdr:col>4</xdr:col>
                    <xdr:colOff>19050</xdr:colOff>
                    <xdr:row>155</xdr:row>
                    <xdr:rowOff>0</xdr:rowOff>
                  </from>
                  <to>
                    <xdr:col>4</xdr:col>
                    <xdr:colOff>228600</xdr:colOff>
                    <xdr:row>155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5" r:id="rId229" name="Check Box 253">
              <controlPr defaultSize="0" autoFill="0" autoLine="0" autoPict="0">
                <anchor moveWithCells="1">
                  <from>
                    <xdr:col>4</xdr:col>
                    <xdr:colOff>19050</xdr:colOff>
                    <xdr:row>260</xdr:row>
                    <xdr:rowOff>0</xdr:rowOff>
                  </from>
                  <to>
                    <xdr:col>4</xdr:col>
                    <xdr:colOff>228600</xdr:colOff>
                    <xdr:row>260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6" r:id="rId230" name="Check Box 254">
              <controlPr defaultSize="0" autoFill="0" autoLine="0" autoPict="0">
                <anchor moveWithCells="1">
                  <from>
                    <xdr:col>4</xdr:col>
                    <xdr:colOff>19050</xdr:colOff>
                    <xdr:row>261</xdr:row>
                    <xdr:rowOff>0</xdr:rowOff>
                  </from>
                  <to>
                    <xdr:col>4</xdr:col>
                    <xdr:colOff>228600</xdr:colOff>
                    <xdr:row>261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7" r:id="rId231" name="Check Box 255">
              <controlPr defaultSize="0" autoFill="0" autoLine="0" autoPict="0">
                <anchor moveWithCells="1">
                  <from>
                    <xdr:col>4</xdr:col>
                    <xdr:colOff>19050</xdr:colOff>
                    <xdr:row>204</xdr:row>
                    <xdr:rowOff>0</xdr:rowOff>
                  </from>
                  <to>
                    <xdr:col>4</xdr:col>
                    <xdr:colOff>228600</xdr:colOff>
                    <xdr:row>204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8" r:id="rId232" name="Check Box 256">
              <controlPr defaultSize="0" autoFill="0" autoLine="0" autoPict="0">
                <anchor moveWithCells="1">
                  <from>
                    <xdr:col>4</xdr:col>
                    <xdr:colOff>19050</xdr:colOff>
                    <xdr:row>205</xdr:row>
                    <xdr:rowOff>0</xdr:rowOff>
                  </from>
                  <to>
                    <xdr:col>4</xdr:col>
                    <xdr:colOff>228600</xdr:colOff>
                    <xdr:row>205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9" r:id="rId233" name="Check Box 257">
              <controlPr defaultSize="0" autoFill="0" autoLine="0" autoPict="0">
                <anchor moveWithCells="1">
                  <from>
                    <xdr:col>4</xdr:col>
                    <xdr:colOff>19050</xdr:colOff>
                    <xdr:row>276</xdr:row>
                    <xdr:rowOff>0</xdr:rowOff>
                  </from>
                  <to>
                    <xdr:col>4</xdr:col>
                    <xdr:colOff>228600</xdr:colOff>
                    <xdr:row>276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0" r:id="rId234" name="Check Box 258">
              <controlPr defaultSize="0" autoFill="0" autoLine="0" autoPict="0">
                <anchor moveWithCells="1">
                  <from>
                    <xdr:col>4</xdr:col>
                    <xdr:colOff>19050</xdr:colOff>
                    <xdr:row>277</xdr:row>
                    <xdr:rowOff>0</xdr:rowOff>
                  </from>
                  <to>
                    <xdr:col>4</xdr:col>
                    <xdr:colOff>228600</xdr:colOff>
                    <xdr:row>277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1" r:id="rId235" name="Check Box 259">
              <controlPr defaultSize="0" autoFill="0" autoLine="0" autoPict="0">
                <anchor moveWithCells="1">
                  <from>
                    <xdr:col>4</xdr:col>
                    <xdr:colOff>19050</xdr:colOff>
                    <xdr:row>113</xdr:row>
                    <xdr:rowOff>0</xdr:rowOff>
                  </from>
                  <to>
                    <xdr:col>4</xdr:col>
                    <xdr:colOff>228600</xdr:colOff>
                    <xdr:row>113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2" r:id="rId236" name="Check Box 260">
              <controlPr defaultSize="0" autoFill="0" autoLine="0" autoPict="0">
                <anchor moveWithCells="1">
                  <from>
                    <xdr:col>4</xdr:col>
                    <xdr:colOff>19050</xdr:colOff>
                    <xdr:row>106</xdr:row>
                    <xdr:rowOff>0</xdr:rowOff>
                  </from>
                  <to>
                    <xdr:col>4</xdr:col>
                    <xdr:colOff>228600</xdr:colOff>
                    <xdr:row>106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3" r:id="rId237" name="Check Box 261">
              <controlPr defaultSize="0" autoFill="0" autoLine="0" autoPict="0">
                <anchor moveWithCells="1">
                  <from>
                    <xdr:col>4</xdr:col>
                    <xdr:colOff>19050</xdr:colOff>
                    <xdr:row>107</xdr:row>
                    <xdr:rowOff>0</xdr:rowOff>
                  </from>
                  <to>
                    <xdr:col>4</xdr:col>
                    <xdr:colOff>228600</xdr:colOff>
                    <xdr:row>107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4" r:id="rId238" name="Check Box 262">
              <controlPr defaultSize="0" autoFill="0" autoLine="0" autoPict="0">
                <anchor moveWithCells="1">
                  <from>
                    <xdr:col>4</xdr:col>
                    <xdr:colOff>19050</xdr:colOff>
                    <xdr:row>108</xdr:row>
                    <xdr:rowOff>0</xdr:rowOff>
                  </from>
                  <to>
                    <xdr:col>4</xdr:col>
                    <xdr:colOff>228600</xdr:colOff>
                    <xdr:row>108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5" r:id="rId239" name="Check Box 263">
              <controlPr defaultSize="0" autoFill="0" autoLine="0" autoPict="0">
                <anchor moveWithCells="1">
                  <from>
                    <xdr:col>4</xdr:col>
                    <xdr:colOff>19050</xdr:colOff>
                    <xdr:row>109</xdr:row>
                    <xdr:rowOff>0</xdr:rowOff>
                  </from>
                  <to>
                    <xdr:col>4</xdr:col>
                    <xdr:colOff>228600</xdr:colOff>
                    <xdr:row>109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6" r:id="rId240" name="Check Box 264">
              <controlPr defaultSize="0" autoFill="0" autoLine="0" autoPict="0">
                <anchor moveWithCells="1">
                  <from>
                    <xdr:col>4</xdr:col>
                    <xdr:colOff>19050</xdr:colOff>
                    <xdr:row>112</xdr:row>
                    <xdr:rowOff>0</xdr:rowOff>
                  </from>
                  <to>
                    <xdr:col>4</xdr:col>
                    <xdr:colOff>228600</xdr:colOff>
                    <xdr:row>112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7" r:id="rId241" name="Check Box 265">
              <controlPr defaultSize="0" autoFill="0" autoLine="0" autoPict="0">
                <anchor moveWithCells="1">
                  <from>
                    <xdr:col>4</xdr:col>
                    <xdr:colOff>19050</xdr:colOff>
                    <xdr:row>113</xdr:row>
                    <xdr:rowOff>0</xdr:rowOff>
                  </from>
                  <to>
                    <xdr:col>4</xdr:col>
                    <xdr:colOff>228600</xdr:colOff>
                    <xdr:row>113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8" r:id="rId242" name="Check Box 266">
              <controlPr defaultSize="0" autoFill="0" autoLine="0" autoPict="0">
                <anchor moveWithCells="1">
                  <from>
                    <xdr:col>4</xdr:col>
                    <xdr:colOff>19050</xdr:colOff>
                    <xdr:row>73</xdr:row>
                    <xdr:rowOff>0</xdr:rowOff>
                  </from>
                  <to>
                    <xdr:col>4</xdr:col>
                    <xdr:colOff>228600</xdr:colOff>
                    <xdr:row>73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9" r:id="rId243" name="Check Box 267">
              <controlPr defaultSize="0" autoFill="0" autoLine="0" autoPict="0">
                <anchor moveWithCells="1">
                  <from>
                    <xdr:col>4</xdr:col>
                    <xdr:colOff>19050</xdr:colOff>
                    <xdr:row>72</xdr:row>
                    <xdr:rowOff>0</xdr:rowOff>
                  </from>
                  <to>
                    <xdr:col>4</xdr:col>
                    <xdr:colOff>228600</xdr:colOff>
                    <xdr:row>72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0" r:id="rId244" name="Check Box 268">
              <controlPr defaultSize="0" autoFill="0" autoLine="0" autoPict="0">
                <anchor moveWithCells="1">
                  <from>
                    <xdr:col>4</xdr:col>
                    <xdr:colOff>19050</xdr:colOff>
                    <xdr:row>73</xdr:row>
                    <xdr:rowOff>0</xdr:rowOff>
                  </from>
                  <to>
                    <xdr:col>4</xdr:col>
                    <xdr:colOff>228600</xdr:colOff>
                    <xdr:row>73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1" r:id="rId245" name="Check Box 269">
              <controlPr defaultSize="0" autoFill="0" autoLine="0" autoPict="0">
                <anchor moveWithCells="1">
                  <from>
                    <xdr:col>4</xdr:col>
                    <xdr:colOff>19050</xdr:colOff>
                    <xdr:row>71</xdr:row>
                    <xdr:rowOff>0</xdr:rowOff>
                  </from>
                  <to>
                    <xdr:col>4</xdr:col>
                    <xdr:colOff>228600</xdr:colOff>
                    <xdr:row>71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2" r:id="rId246" name="Check Box 270">
              <controlPr defaultSize="0" autoFill="0" autoLine="0" autoPict="0">
                <anchor moveWithCells="1">
                  <from>
                    <xdr:col>4</xdr:col>
                    <xdr:colOff>19050</xdr:colOff>
                    <xdr:row>8</xdr:row>
                    <xdr:rowOff>0</xdr:rowOff>
                  </from>
                  <to>
                    <xdr:col>4</xdr:col>
                    <xdr:colOff>228600</xdr:colOff>
                    <xdr:row>8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3" r:id="rId247" name="Check Box 271">
              <controlPr defaultSize="0" autoFill="0" autoLine="0" autoPict="0">
                <anchor moveWithCells="1">
                  <from>
                    <xdr:col>4</xdr:col>
                    <xdr:colOff>19050</xdr:colOff>
                    <xdr:row>9</xdr:row>
                    <xdr:rowOff>0</xdr:rowOff>
                  </from>
                  <to>
                    <xdr:col>4</xdr:col>
                    <xdr:colOff>228600</xdr:colOff>
                    <xdr:row>9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4" r:id="rId248" name="Check Box 272">
              <controlPr defaultSize="0" autoFill="0" autoLine="0" autoPict="0">
                <anchor moveWithCells="1">
                  <from>
                    <xdr:col>4</xdr:col>
                    <xdr:colOff>19050</xdr:colOff>
                    <xdr:row>68</xdr:row>
                    <xdr:rowOff>0</xdr:rowOff>
                  </from>
                  <to>
                    <xdr:col>4</xdr:col>
                    <xdr:colOff>228600</xdr:colOff>
                    <xdr:row>68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5" r:id="rId249" name="Check Box 273">
              <controlPr defaultSize="0" autoFill="0" autoLine="0" autoPict="0">
                <anchor moveWithCells="1">
                  <from>
                    <xdr:col>4</xdr:col>
                    <xdr:colOff>19050</xdr:colOff>
                    <xdr:row>69</xdr:row>
                    <xdr:rowOff>0</xdr:rowOff>
                  </from>
                  <to>
                    <xdr:col>4</xdr:col>
                    <xdr:colOff>228600</xdr:colOff>
                    <xdr:row>69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6" r:id="rId250" name="Check Box 274">
              <controlPr defaultSize="0" autoFill="0" autoLine="0" autoPict="0">
                <anchor moveWithCells="1">
                  <from>
                    <xdr:col>4</xdr:col>
                    <xdr:colOff>19050</xdr:colOff>
                    <xdr:row>70</xdr:row>
                    <xdr:rowOff>0</xdr:rowOff>
                  </from>
                  <to>
                    <xdr:col>4</xdr:col>
                    <xdr:colOff>228600</xdr:colOff>
                    <xdr:row>70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7" r:id="rId251" name="Check Box 275">
              <controlPr defaultSize="0" autoFill="0" autoLine="0" autoPict="0">
                <anchor moveWithCells="1">
                  <from>
                    <xdr:col>4</xdr:col>
                    <xdr:colOff>19050</xdr:colOff>
                    <xdr:row>71</xdr:row>
                    <xdr:rowOff>0</xdr:rowOff>
                  </from>
                  <to>
                    <xdr:col>4</xdr:col>
                    <xdr:colOff>228600</xdr:colOff>
                    <xdr:row>71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2" r:id="rId252" name="Check Box 280">
              <controlPr defaultSize="0" autoFill="0" autoLine="0" autoPict="0">
                <anchor moveWithCells="1">
                  <from>
                    <xdr:col>4</xdr:col>
                    <xdr:colOff>19050</xdr:colOff>
                    <xdr:row>309</xdr:row>
                    <xdr:rowOff>0</xdr:rowOff>
                  </from>
                  <to>
                    <xdr:col>4</xdr:col>
                    <xdr:colOff>228600</xdr:colOff>
                    <xdr:row>309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3" r:id="rId253" name="Check Box 281">
              <controlPr defaultSize="0" autoFill="0" autoLine="0" autoPict="0">
                <anchor moveWithCells="1">
                  <from>
                    <xdr:col>4</xdr:col>
                    <xdr:colOff>19050</xdr:colOff>
                    <xdr:row>296</xdr:row>
                    <xdr:rowOff>0</xdr:rowOff>
                  </from>
                  <to>
                    <xdr:col>4</xdr:col>
                    <xdr:colOff>228600</xdr:colOff>
                    <xdr:row>296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4" r:id="rId254" name="Check Box 282">
              <controlPr defaultSize="0" autoFill="0" autoLine="0" autoPict="0">
                <anchor moveWithCells="1">
                  <from>
                    <xdr:col>4</xdr:col>
                    <xdr:colOff>19050</xdr:colOff>
                    <xdr:row>297</xdr:row>
                    <xdr:rowOff>0</xdr:rowOff>
                  </from>
                  <to>
                    <xdr:col>4</xdr:col>
                    <xdr:colOff>228600</xdr:colOff>
                    <xdr:row>297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5" r:id="rId255" name="Check Box 283">
              <controlPr defaultSize="0" autoFill="0" autoLine="0" autoPict="0">
                <anchor moveWithCells="1">
                  <from>
                    <xdr:col>4</xdr:col>
                    <xdr:colOff>19050</xdr:colOff>
                    <xdr:row>298</xdr:row>
                    <xdr:rowOff>0</xdr:rowOff>
                  </from>
                  <to>
                    <xdr:col>4</xdr:col>
                    <xdr:colOff>228600</xdr:colOff>
                    <xdr:row>298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6" r:id="rId256" name="Check Box 284">
              <controlPr defaultSize="0" autoFill="0" autoLine="0" autoPict="0">
                <anchor moveWithCells="1">
                  <from>
                    <xdr:col>4</xdr:col>
                    <xdr:colOff>19050</xdr:colOff>
                    <xdr:row>299</xdr:row>
                    <xdr:rowOff>0</xdr:rowOff>
                  </from>
                  <to>
                    <xdr:col>4</xdr:col>
                    <xdr:colOff>228600</xdr:colOff>
                    <xdr:row>299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7" r:id="rId257" name="Check Box 285">
              <controlPr defaultSize="0" autoFill="0" autoLine="0" autoPict="0">
                <anchor moveWithCells="1">
                  <from>
                    <xdr:col>4</xdr:col>
                    <xdr:colOff>19050</xdr:colOff>
                    <xdr:row>300</xdr:row>
                    <xdr:rowOff>0</xdr:rowOff>
                  </from>
                  <to>
                    <xdr:col>4</xdr:col>
                    <xdr:colOff>228600</xdr:colOff>
                    <xdr:row>300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8" r:id="rId258" name="Check Box 286">
              <controlPr defaultSize="0" autoFill="0" autoLine="0" autoPict="0">
                <anchor moveWithCells="1">
                  <from>
                    <xdr:col>4</xdr:col>
                    <xdr:colOff>19050</xdr:colOff>
                    <xdr:row>301</xdr:row>
                    <xdr:rowOff>0</xdr:rowOff>
                  </from>
                  <to>
                    <xdr:col>4</xdr:col>
                    <xdr:colOff>228600</xdr:colOff>
                    <xdr:row>301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9" r:id="rId259" name="Check Box 287">
              <controlPr defaultSize="0" autoFill="0" autoLine="0" autoPict="0">
                <anchor moveWithCells="1">
                  <from>
                    <xdr:col>4</xdr:col>
                    <xdr:colOff>19050</xdr:colOff>
                    <xdr:row>302</xdr:row>
                    <xdr:rowOff>0</xdr:rowOff>
                  </from>
                  <to>
                    <xdr:col>4</xdr:col>
                    <xdr:colOff>228600</xdr:colOff>
                    <xdr:row>302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0" r:id="rId260" name="Check Box 288">
              <controlPr defaultSize="0" autoFill="0" autoLine="0" autoPict="0">
                <anchor moveWithCells="1">
                  <from>
                    <xdr:col>4</xdr:col>
                    <xdr:colOff>19050</xdr:colOff>
                    <xdr:row>303</xdr:row>
                    <xdr:rowOff>0</xdr:rowOff>
                  </from>
                  <to>
                    <xdr:col>4</xdr:col>
                    <xdr:colOff>228600</xdr:colOff>
                    <xdr:row>303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1" r:id="rId261" name="Check Box 289">
              <controlPr defaultSize="0" autoFill="0" autoLine="0" autoPict="0">
                <anchor moveWithCells="1">
                  <from>
                    <xdr:col>4</xdr:col>
                    <xdr:colOff>19050</xdr:colOff>
                    <xdr:row>304</xdr:row>
                    <xdr:rowOff>0</xdr:rowOff>
                  </from>
                  <to>
                    <xdr:col>4</xdr:col>
                    <xdr:colOff>228600</xdr:colOff>
                    <xdr:row>304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2" r:id="rId262" name="Check Box 290">
              <controlPr defaultSize="0" autoFill="0" autoLine="0" autoPict="0">
                <anchor moveWithCells="1">
                  <from>
                    <xdr:col>4</xdr:col>
                    <xdr:colOff>19050</xdr:colOff>
                    <xdr:row>305</xdr:row>
                    <xdr:rowOff>0</xdr:rowOff>
                  </from>
                  <to>
                    <xdr:col>4</xdr:col>
                    <xdr:colOff>228600</xdr:colOff>
                    <xdr:row>305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3" r:id="rId263" name="Check Box 291">
              <controlPr defaultSize="0" autoFill="0" autoLine="0" autoPict="0">
                <anchor moveWithCells="1">
                  <from>
                    <xdr:col>4</xdr:col>
                    <xdr:colOff>19050</xdr:colOff>
                    <xdr:row>306</xdr:row>
                    <xdr:rowOff>0</xdr:rowOff>
                  </from>
                  <to>
                    <xdr:col>4</xdr:col>
                    <xdr:colOff>228600</xdr:colOff>
                    <xdr:row>306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4" r:id="rId264" name="Check Box 292">
              <controlPr defaultSize="0" autoFill="0" autoLine="0" autoPict="0">
                <anchor moveWithCells="1">
                  <from>
                    <xdr:col>4</xdr:col>
                    <xdr:colOff>19050</xdr:colOff>
                    <xdr:row>307</xdr:row>
                    <xdr:rowOff>0</xdr:rowOff>
                  </from>
                  <to>
                    <xdr:col>4</xdr:col>
                    <xdr:colOff>228600</xdr:colOff>
                    <xdr:row>307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5" r:id="rId265" name="Check Box 293">
              <controlPr defaultSize="0" autoFill="0" autoLine="0" autoPict="0">
                <anchor moveWithCells="1">
                  <from>
                    <xdr:col>4</xdr:col>
                    <xdr:colOff>19050</xdr:colOff>
                    <xdr:row>308</xdr:row>
                    <xdr:rowOff>0</xdr:rowOff>
                  </from>
                  <to>
                    <xdr:col>4</xdr:col>
                    <xdr:colOff>228600</xdr:colOff>
                    <xdr:row>308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6" r:id="rId266" name="Check Box 294">
              <controlPr defaultSize="0" autoFill="0" autoLine="0" autoPict="0">
                <anchor moveWithCells="1">
                  <from>
                    <xdr:col>4</xdr:col>
                    <xdr:colOff>19050</xdr:colOff>
                    <xdr:row>309</xdr:row>
                    <xdr:rowOff>0</xdr:rowOff>
                  </from>
                  <to>
                    <xdr:col>4</xdr:col>
                    <xdr:colOff>228600</xdr:colOff>
                    <xdr:row>309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7" r:id="rId267" name="Check Box 295">
              <controlPr defaultSize="0" autoFill="0" autoLine="0" autoPict="0">
                <anchor moveWithCells="1">
                  <from>
                    <xdr:col>4</xdr:col>
                    <xdr:colOff>19050</xdr:colOff>
                    <xdr:row>295</xdr:row>
                    <xdr:rowOff>0</xdr:rowOff>
                  </from>
                  <to>
                    <xdr:col>4</xdr:col>
                    <xdr:colOff>228600</xdr:colOff>
                    <xdr:row>295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8" r:id="rId268" name="Check Box 296">
              <controlPr defaultSize="0" autoFill="0" autoLine="0" autoPict="0">
                <anchor moveWithCells="1">
                  <from>
                    <xdr:col>4</xdr:col>
                    <xdr:colOff>19050</xdr:colOff>
                    <xdr:row>216</xdr:row>
                    <xdr:rowOff>0</xdr:rowOff>
                  </from>
                  <to>
                    <xdr:col>4</xdr:col>
                    <xdr:colOff>228600</xdr:colOff>
                    <xdr:row>216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9" r:id="rId269" name="Check Box 297">
              <controlPr defaultSize="0" autoFill="0" autoLine="0" autoPict="0">
                <anchor moveWithCells="1">
                  <from>
                    <xdr:col>4</xdr:col>
                    <xdr:colOff>19050</xdr:colOff>
                    <xdr:row>217</xdr:row>
                    <xdr:rowOff>0</xdr:rowOff>
                  </from>
                  <to>
                    <xdr:col>4</xdr:col>
                    <xdr:colOff>228600</xdr:colOff>
                    <xdr:row>217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0" r:id="rId270" name="Check Box 298">
              <controlPr defaultSize="0" autoFill="0" autoLine="0" autoPict="0">
                <anchor moveWithCells="1">
                  <from>
                    <xdr:col>4</xdr:col>
                    <xdr:colOff>19050</xdr:colOff>
                    <xdr:row>218</xdr:row>
                    <xdr:rowOff>0</xdr:rowOff>
                  </from>
                  <to>
                    <xdr:col>4</xdr:col>
                    <xdr:colOff>228600</xdr:colOff>
                    <xdr:row>218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1" r:id="rId271" name="Check Box 299">
              <controlPr defaultSize="0" autoFill="0" autoLine="0" autoPict="0">
                <anchor moveWithCells="1">
                  <from>
                    <xdr:col>4</xdr:col>
                    <xdr:colOff>19050</xdr:colOff>
                    <xdr:row>219</xdr:row>
                    <xdr:rowOff>0</xdr:rowOff>
                  </from>
                  <to>
                    <xdr:col>4</xdr:col>
                    <xdr:colOff>228600</xdr:colOff>
                    <xdr:row>219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2" r:id="rId272" name="Check Box 300">
              <controlPr defaultSize="0" autoFill="0" autoLine="0" autoPict="0">
                <anchor moveWithCells="1">
                  <from>
                    <xdr:col>4</xdr:col>
                    <xdr:colOff>19050</xdr:colOff>
                    <xdr:row>224</xdr:row>
                    <xdr:rowOff>0</xdr:rowOff>
                  </from>
                  <to>
                    <xdr:col>4</xdr:col>
                    <xdr:colOff>228600</xdr:colOff>
                    <xdr:row>224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3" r:id="rId273" name="Check Box 301">
              <controlPr defaultSize="0" autoFill="0" autoLine="0" autoPict="0">
                <anchor moveWithCells="1">
                  <from>
                    <xdr:col>4</xdr:col>
                    <xdr:colOff>19050</xdr:colOff>
                    <xdr:row>225</xdr:row>
                    <xdr:rowOff>0</xdr:rowOff>
                  </from>
                  <to>
                    <xdr:col>4</xdr:col>
                    <xdr:colOff>228600</xdr:colOff>
                    <xdr:row>225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4" r:id="rId274" name="Check Box 302">
              <controlPr defaultSize="0" autoFill="0" autoLine="0" autoPict="0">
                <anchor moveWithCells="1">
                  <from>
                    <xdr:col>4</xdr:col>
                    <xdr:colOff>19050</xdr:colOff>
                    <xdr:row>248</xdr:row>
                    <xdr:rowOff>0</xdr:rowOff>
                  </from>
                  <to>
                    <xdr:col>4</xdr:col>
                    <xdr:colOff>228600</xdr:colOff>
                    <xdr:row>248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5" r:id="rId275" name="Check Box 303">
              <controlPr defaultSize="0" autoFill="0" autoLine="0" autoPict="0">
                <anchor moveWithCells="1">
                  <from>
                    <xdr:col>4</xdr:col>
                    <xdr:colOff>19050</xdr:colOff>
                    <xdr:row>249</xdr:row>
                    <xdr:rowOff>0</xdr:rowOff>
                  </from>
                  <to>
                    <xdr:col>4</xdr:col>
                    <xdr:colOff>228600</xdr:colOff>
                    <xdr:row>249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6" r:id="rId276" name="Check Box 304">
              <controlPr defaultSize="0" autoFill="0" autoLine="0" autoPict="0">
                <anchor moveWithCells="1">
                  <from>
                    <xdr:col>4</xdr:col>
                    <xdr:colOff>19050</xdr:colOff>
                    <xdr:row>250</xdr:row>
                    <xdr:rowOff>0</xdr:rowOff>
                  </from>
                  <to>
                    <xdr:col>4</xdr:col>
                    <xdr:colOff>228600</xdr:colOff>
                    <xdr:row>250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7" r:id="rId277" name="Check Box 305">
              <controlPr defaultSize="0" autoFill="0" autoLine="0" autoPict="0">
                <anchor moveWithCells="1">
                  <from>
                    <xdr:col>4</xdr:col>
                    <xdr:colOff>19050</xdr:colOff>
                    <xdr:row>251</xdr:row>
                    <xdr:rowOff>0</xdr:rowOff>
                  </from>
                  <to>
                    <xdr:col>4</xdr:col>
                    <xdr:colOff>228600</xdr:colOff>
                    <xdr:row>251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8" r:id="rId278" name="Check Box 306">
              <controlPr defaultSize="0" autoFill="0" autoLine="0" autoPict="0">
                <anchor moveWithCells="1">
                  <from>
                    <xdr:col>4</xdr:col>
                    <xdr:colOff>19050</xdr:colOff>
                    <xdr:row>292</xdr:row>
                    <xdr:rowOff>0</xdr:rowOff>
                  </from>
                  <to>
                    <xdr:col>4</xdr:col>
                    <xdr:colOff>228600</xdr:colOff>
                    <xdr:row>292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9" r:id="rId279" name="Check Box 307">
              <controlPr defaultSize="0" autoFill="0" autoLine="0" autoPict="0">
                <anchor moveWithCells="1">
                  <from>
                    <xdr:col>4</xdr:col>
                    <xdr:colOff>19050</xdr:colOff>
                    <xdr:row>293</xdr:row>
                    <xdr:rowOff>0</xdr:rowOff>
                  </from>
                  <to>
                    <xdr:col>4</xdr:col>
                    <xdr:colOff>228600</xdr:colOff>
                    <xdr:row>293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0" r:id="rId280" name="Check Box 308">
              <controlPr defaultSize="0" autoFill="0" autoLine="0" autoPict="0">
                <anchor moveWithCells="1">
                  <from>
                    <xdr:col>4</xdr:col>
                    <xdr:colOff>19050</xdr:colOff>
                    <xdr:row>294</xdr:row>
                    <xdr:rowOff>0</xdr:rowOff>
                  </from>
                  <to>
                    <xdr:col>4</xdr:col>
                    <xdr:colOff>228600</xdr:colOff>
                    <xdr:row>294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1" r:id="rId281" name="Check Box 309">
              <controlPr defaultSize="0" autoFill="0" autoLine="0" autoPict="0">
                <anchor moveWithCells="1">
                  <from>
                    <xdr:col>4</xdr:col>
                    <xdr:colOff>19050</xdr:colOff>
                    <xdr:row>295</xdr:row>
                    <xdr:rowOff>0</xdr:rowOff>
                  </from>
                  <to>
                    <xdr:col>4</xdr:col>
                    <xdr:colOff>228600</xdr:colOff>
                    <xdr:row>295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2" r:id="rId282" name="Check Box 310">
              <controlPr defaultSize="0" autoFill="0" autoLine="0" autoPict="0">
                <anchor moveWithCells="1">
                  <from>
                    <xdr:col>4</xdr:col>
                    <xdr:colOff>19050</xdr:colOff>
                    <xdr:row>215</xdr:row>
                    <xdr:rowOff>0</xdr:rowOff>
                  </from>
                  <to>
                    <xdr:col>4</xdr:col>
                    <xdr:colOff>228600</xdr:colOff>
                    <xdr:row>215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3" r:id="rId283" name="Check Box 311">
              <controlPr defaultSize="0" autoFill="0" autoLine="0" autoPict="0">
                <anchor moveWithCells="1">
                  <from>
                    <xdr:col>4</xdr:col>
                    <xdr:colOff>19050</xdr:colOff>
                    <xdr:row>170</xdr:row>
                    <xdr:rowOff>0</xdr:rowOff>
                  </from>
                  <to>
                    <xdr:col>4</xdr:col>
                    <xdr:colOff>228600</xdr:colOff>
                    <xdr:row>170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4" r:id="rId284" name="Check Box 312">
              <controlPr defaultSize="0" autoFill="0" autoLine="0" autoPict="0">
                <anchor moveWithCells="1">
                  <from>
                    <xdr:col>4</xdr:col>
                    <xdr:colOff>19050</xdr:colOff>
                    <xdr:row>171</xdr:row>
                    <xdr:rowOff>0</xdr:rowOff>
                  </from>
                  <to>
                    <xdr:col>4</xdr:col>
                    <xdr:colOff>228600</xdr:colOff>
                    <xdr:row>171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5" r:id="rId285" name="Check Box 313">
              <controlPr defaultSize="0" autoFill="0" autoLine="0" autoPict="0">
                <anchor moveWithCells="1">
                  <from>
                    <xdr:col>4</xdr:col>
                    <xdr:colOff>19050</xdr:colOff>
                    <xdr:row>212</xdr:row>
                    <xdr:rowOff>0</xdr:rowOff>
                  </from>
                  <to>
                    <xdr:col>4</xdr:col>
                    <xdr:colOff>228600</xdr:colOff>
                    <xdr:row>212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6" r:id="rId286" name="Check Box 314">
              <controlPr defaultSize="0" autoFill="0" autoLine="0" autoPict="0">
                <anchor moveWithCells="1">
                  <from>
                    <xdr:col>4</xdr:col>
                    <xdr:colOff>19050</xdr:colOff>
                    <xdr:row>213</xdr:row>
                    <xdr:rowOff>0</xdr:rowOff>
                  </from>
                  <to>
                    <xdr:col>4</xdr:col>
                    <xdr:colOff>228600</xdr:colOff>
                    <xdr:row>213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7" r:id="rId287" name="Check Box 315">
              <controlPr defaultSize="0" autoFill="0" autoLine="0" autoPict="0">
                <anchor moveWithCells="1">
                  <from>
                    <xdr:col>4</xdr:col>
                    <xdr:colOff>19050</xdr:colOff>
                    <xdr:row>214</xdr:row>
                    <xdr:rowOff>0</xdr:rowOff>
                  </from>
                  <to>
                    <xdr:col>4</xdr:col>
                    <xdr:colOff>228600</xdr:colOff>
                    <xdr:row>214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8" r:id="rId288" name="Check Box 316">
              <controlPr defaultSize="0" autoFill="0" autoLine="0" autoPict="0">
                <anchor moveWithCells="1">
                  <from>
                    <xdr:col>4</xdr:col>
                    <xdr:colOff>19050</xdr:colOff>
                    <xdr:row>215</xdr:row>
                    <xdr:rowOff>0</xdr:rowOff>
                  </from>
                  <to>
                    <xdr:col>4</xdr:col>
                    <xdr:colOff>228600</xdr:colOff>
                    <xdr:row>215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9" r:id="rId289" name="Check Box 317">
              <controlPr defaultSize="0" autoFill="0" autoLine="0" autoPict="0">
                <anchor moveWithCells="1">
                  <from>
                    <xdr:col>4</xdr:col>
                    <xdr:colOff>19050</xdr:colOff>
                    <xdr:row>169</xdr:row>
                    <xdr:rowOff>0</xdr:rowOff>
                  </from>
                  <to>
                    <xdr:col>4</xdr:col>
                    <xdr:colOff>228600</xdr:colOff>
                    <xdr:row>169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0" r:id="rId290" name="Check Box 318">
              <controlPr defaultSize="0" autoFill="0" autoLine="0" autoPict="0">
                <anchor moveWithCells="1">
                  <from>
                    <xdr:col>4</xdr:col>
                    <xdr:colOff>19050</xdr:colOff>
                    <xdr:row>168</xdr:row>
                    <xdr:rowOff>0</xdr:rowOff>
                  </from>
                  <to>
                    <xdr:col>4</xdr:col>
                    <xdr:colOff>228600</xdr:colOff>
                    <xdr:row>168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1" r:id="rId291" name="Check Box 319">
              <controlPr defaultSize="0" autoFill="0" autoLine="0" autoPict="0">
                <anchor moveWithCells="1">
                  <from>
                    <xdr:col>4</xdr:col>
                    <xdr:colOff>19050</xdr:colOff>
                    <xdr:row>169</xdr:row>
                    <xdr:rowOff>0</xdr:rowOff>
                  </from>
                  <to>
                    <xdr:col>4</xdr:col>
                    <xdr:colOff>228600</xdr:colOff>
                    <xdr:row>169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2" r:id="rId292" name="Check Box 320">
              <controlPr defaultSize="0" autoFill="0" autoLine="0" autoPict="0">
                <anchor moveWithCells="1">
                  <from>
                    <xdr:col>4</xdr:col>
                    <xdr:colOff>19050</xdr:colOff>
                    <xdr:row>167</xdr:row>
                    <xdr:rowOff>0</xdr:rowOff>
                  </from>
                  <to>
                    <xdr:col>4</xdr:col>
                    <xdr:colOff>228600</xdr:colOff>
                    <xdr:row>167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3" r:id="rId293" name="Check Box 321">
              <controlPr defaultSize="0" autoFill="0" autoLine="0" autoPict="0">
                <anchor moveWithCells="1">
                  <from>
                    <xdr:col>4</xdr:col>
                    <xdr:colOff>19050</xdr:colOff>
                    <xdr:row>156</xdr:row>
                    <xdr:rowOff>0</xdr:rowOff>
                  </from>
                  <to>
                    <xdr:col>4</xdr:col>
                    <xdr:colOff>228600</xdr:colOff>
                    <xdr:row>156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4" r:id="rId294" name="Check Box 322">
              <controlPr defaultSize="0" autoFill="0" autoLine="0" autoPict="0">
                <anchor moveWithCells="1">
                  <from>
                    <xdr:col>4</xdr:col>
                    <xdr:colOff>19050</xdr:colOff>
                    <xdr:row>157</xdr:row>
                    <xdr:rowOff>0</xdr:rowOff>
                  </from>
                  <to>
                    <xdr:col>4</xdr:col>
                    <xdr:colOff>228600</xdr:colOff>
                    <xdr:row>157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5" r:id="rId295" name="Check Box 323">
              <controlPr defaultSize="0" autoFill="0" autoLine="0" autoPict="0">
                <anchor moveWithCells="1">
                  <from>
                    <xdr:col>4</xdr:col>
                    <xdr:colOff>19050</xdr:colOff>
                    <xdr:row>164</xdr:row>
                    <xdr:rowOff>0</xdr:rowOff>
                  </from>
                  <to>
                    <xdr:col>4</xdr:col>
                    <xdr:colOff>228600</xdr:colOff>
                    <xdr:row>164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6" r:id="rId296" name="Check Box 324">
              <controlPr defaultSize="0" autoFill="0" autoLine="0" autoPict="0">
                <anchor moveWithCells="1">
                  <from>
                    <xdr:col>4</xdr:col>
                    <xdr:colOff>19050</xdr:colOff>
                    <xdr:row>165</xdr:row>
                    <xdr:rowOff>0</xdr:rowOff>
                  </from>
                  <to>
                    <xdr:col>4</xdr:col>
                    <xdr:colOff>228600</xdr:colOff>
                    <xdr:row>165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7" r:id="rId297" name="Check Box 325">
              <controlPr defaultSize="0" autoFill="0" autoLine="0" autoPict="0">
                <anchor moveWithCells="1">
                  <from>
                    <xdr:col>4</xdr:col>
                    <xdr:colOff>19050</xdr:colOff>
                    <xdr:row>166</xdr:row>
                    <xdr:rowOff>0</xdr:rowOff>
                  </from>
                  <to>
                    <xdr:col>4</xdr:col>
                    <xdr:colOff>228600</xdr:colOff>
                    <xdr:row>166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8" r:id="rId298" name="Check Box 326">
              <controlPr defaultSize="0" autoFill="0" autoLine="0" autoPict="0">
                <anchor moveWithCells="1">
                  <from>
                    <xdr:col>4</xdr:col>
                    <xdr:colOff>19050</xdr:colOff>
                    <xdr:row>167</xdr:row>
                    <xdr:rowOff>0</xdr:rowOff>
                  </from>
                  <to>
                    <xdr:col>4</xdr:col>
                    <xdr:colOff>228600</xdr:colOff>
                    <xdr:row>167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2" r:id="rId299" name="Check Box 330">
              <controlPr defaultSize="0" autoFill="0" autoLine="0" autoPict="0">
                <anchor moveWithCells="1">
                  <from>
                    <xdr:col>4</xdr:col>
                    <xdr:colOff>19050</xdr:colOff>
                    <xdr:row>82</xdr:row>
                    <xdr:rowOff>0</xdr:rowOff>
                  </from>
                  <to>
                    <xdr:col>4</xdr:col>
                    <xdr:colOff>228600</xdr:colOff>
                    <xdr:row>82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3" r:id="rId300" name="Check Box 331">
              <controlPr defaultSize="0" autoFill="0" autoLine="0" autoPict="0">
                <anchor moveWithCells="1">
                  <from>
                    <xdr:col>4</xdr:col>
                    <xdr:colOff>19050</xdr:colOff>
                    <xdr:row>83</xdr:row>
                    <xdr:rowOff>0</xdr:rowOff>
                  </from>
                  <to>
                    <xdr:col>4</xdr:col>
                    <xdr:colOff>228600</xdr:colOff>
                    <xdr:row>83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4" r:id="rId301" name="Check Box 332">
              <controlPr defaultSize="0" autoFill="0" autoLine="0" autoPict="0">
                <anchor moveWithCells="1">
                  <from>
                    <xdr:col>4</xdr:col>
                    <xdr:colOff>19050</xdr:colOff>
                    <xdr:row>84</xdr:row>
                    <xdr:rowOff>0</xdr:rowOff>
                  </from>
                  <to>
                    <xdr:col>4</xdr:col>
                    <xdr:colOff>228600</xdr:colOff>
                    <xdr:row>84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5" r:id="rId302" name="Check Box 333">
              <controlPr defaultSize="0" autoFill="0" autoLine="0" autoPict="0">
                <anchor moveWithCells="1">
                  <from>
                    <xdr:col>4</xdr:col>
                    <xdr:colOff>19050</xdr:colOff>
                    <xdr:row>85</xdr:row>
                    <xdr:rowOff>0</xdr:rowOff>
                  </from>
                  <to>
                    <xdr:col>4</xdr:col>
                    <xdr:colOff>228600</xdr:colOff>
                    <xdr:row>85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6" r:id="rId303" name="Check Box 334">
              <controlPr defaultSize="0" autoFill="0" autoLine="0" autoPict="0">
                <anchor moveWithCells="1">
                  <from>
                    <xdr:col>4</xdr:col>
                    <xdr:colOff>19050</xdr:colOff>
                    <xdr:row>86</xdr:row>
                    <xdr:rowOff>0</xdr:rowOff>
                  </from>
                  <to>
                    <xdr:col>4</xdr:col>
                    <xdr:colOff>228600</xdr:colOff>
                    <xdr:row>86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7" r:id="rId304" name="Check Box 335">
              <controlPr defaultSize="0" autoFill="0" autoLine="0" autoPict="0">
                <anchor moveWithCells="1">
                  <from>
                    <xdr:col>4</xdr:col>
                    <xdr:colOff>19050</xdr:colOff>
                    <xdr:row>87</xdr:row>
                    <xdr:rowOff>0</xdr:rowOff>
                  </from>
                  <to>
                    <xdr:col>4</xdr:col>
                    <xdr:colOff>228600</xdr:colOff>
                    <xdr:row>87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8" r:id="rId305" name="Check Box 336">
              <controlPr defaultSize="0" autoFill="0" autoLine="0" autoPict="0">
                <anchor moveWithCells="1">
                  <from>
                    <xdr:col>4</xdr:col>
                    <xdr:colOff>19050</xdr:colOff>
                    <xdr:row>88</xdr:row>
                    <xdr:rowOff>0</xdr:rowOff>
                  </from>
                  <to>
                    <xdr:col>4</xdr:col>
                    <xdr:colOff>228600</xdr:colOff>
                    <xdr:row>88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9" r:id="rId306" name="Check Box 337">
              <controlPr defaultSize="0" autoFill="0" autoLine="0" autoPict="0">
                <anchor moveWithCells="1">
                  <from>
                    <xdr:col>4</xdr:col>
                    <xdr:colOff>19050</xdr:colOff>
                    <xdr:row>89</xdr:row>
                    <xdr:rowOff>0</xdr:rowOff>
                  </from>
                  <to>
                    <xdr:col>4</xdr:col>
                    <xdr:colOff>228600</xdr:colOff>
                    <xdr:row>89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2" r:id="rId307" name="Check Box 340">
              <controlPr defaultSize="0" autoFill="0" autoLine="0" autoPict="0">
                <anchor moveWithCells="1">
                  <from>
                    <xdr:col>4</xdr:col>
                    <xdr:colOff>19050</xdr:colOff>
                    <xdr:row>173</xdr:row>
                    <xdr:rowOff>0</xdr:rowOff>
                  </from>
                  <to>
                    <xdr:col>4</xdr:col>
                    <xdr:colOff>228600</xdr:colOff>
                    <xdr:row>173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3" r:id="rId308" name="Check Box 341">
              <controlPr defaultSize="0" autoFill="0" autoLine="0" autoPict="0">
                <anchor moveWithCells="1">
                  <from>
                    <xdr:col>4</xdr:col>
                    <xdr:colOff>19050</xdr:colOff>
                    <xdr:row>312</xdr:row>
                    <xdr:rowOff>0</xdr:rowOff>
                  </from>
                  <to>
                    <xdr:col>4</xdr:col>
                    <xdr:colOff>228600</xdr:colOff>
                    <xdr:row>312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4" r:id="rId309" name="Check Box 342">
              <controlPr defaultSize="0" autoFill="0" autoLine="0" autoPict="0">
                <anchor moveWithCells="1">
                  <from>
                    <xdr:col>4</xdr:col>
                    <xdr:colOff>19050</xdr:colOff>
                    <xdr:row>313</xdr:row>
                    <xdr:rowOff>0</xdr:rowOff>
                  </from>
                  <to>
                    <xdr:col>4</xdr:col>
                    <xdr:colOff>228600</xdr:colOff>
                    <xdr:row>313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5" r:id="rId310" name="Check Box 343">
              <controlPr defaultSize="0" autoFill="0" autoLine="0" autoPict="0">
                <anchor moveWithCells="1">
                  <from>
                    <xdr:col>4</xdr:col>
                    <xdr:colOff>19050</xdr:colOff>
                    <xdr:row>314</xdr:row>
                    <xdr:rowOff>0</xdr:rowOff>
                  </from>
                  <to>
                    <xdr:col>4</xdr:col>
                    <xdr:colOff>228600</xdr:colOff>
                    <xdr:row>314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6" r:id="rId311" name="Check Box 344">
              <controlPr defaultSize="0" autoFill="0" autoLine="0" autoPict="0">
                <anchor moveWithCells="1">
                  <from>
                    <xdr:col>4</xdr:col>
                    <xdr:colOff>19050</xdr:colOff>
                    <xdr:row>315</xdr:row>
                    <xdr:rowOff>0</xdr:rowOff>
                  </from>
                  <to>
                    <xdr:col>4</xdr:col>
                    <xdr:colOff>228600</xdr:colOff>
                    <xdr:row>315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7" r:id="rId312" name="Check Box 345">
              <controlPr defaultSize="0" autoFill="0" autoLine="0" autoPict="0">
                <anchor moveWithCells="1">
                  <from>
                    <xdr:col>4</xdr:col>
                    <xdr:colOff>19050</xdr:colOff>
                    <xdr:row>316</xdr:row>
                    <xdr:rowOff>0</xdr:rowOff>
                  </from>
                  <to>
                    <xdr:col>4</xdr:col>
                    <xdr:colOff>228600</xdr:colOff>
                    <xdr:row>316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8" r:id="rId313" name="Check Box 346">
              <controlPr defaultSize="0" autoFill="0" autoLine="0" autoPict="0">
                <anchor moveWithCells="1">
                  <from>
                    <xdr:col>4</xdr:col>
                    <xdr:colOff>19050</xdr:colOff>
                    <xdr:row>317</xdr:row>
                    <xdr:rowOff>0</xdr:rowOff>
                  </from>
                  <to>
                    <xdr:col>4</xdr:col>
                    <xdr:colOff>228600</xdr:colOff>
                    <xdr:row>317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9" r:id="rId314" name="Check Box 347">
              <controlPr defaultSize="0" autoFill="0" autoLine="0" autoPict="0">
                <anchor moveWithCells="1">
                  <from>
                    <xdr:col>4</xdr:col>
                    <xdr:colOff>19050</xdr:colOff>
                    <xdr:row>10</xdr:row>
                    <xdr:rowOff>0</xdr:rowOff>
                  </from>
                  <to>
                    <xdr:col>4</xdr:col>
                    <xdr:colOff>228600</xdr:colOff>
                    <xdr:row>10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0" r:id="rId315" name="Check Box 348">
              <controlPr defaultSize="0" autoFill="0" autoLine="0" autoPict="0">
                <anchor moveWithCells="1">
                  <from>
                    <xdr:col>4</xdr:col>
                    <xdr:colOff>19050</xdr:colOff>
                    <xdr:row>11</xdr:row>
                    <xdr:rowOff>0</xdr:rowOff>
                  </from>
                  <to>
                    <xdr:col>4</xdr:col>
                    <xdr:colOff>228600</xdr:colOff>
                    <xdr:row>11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1" r:id="rId316" name="Check Box 349">
              <controlPr defaultSize="0" autoFill="0" autoLine="0" autoPict="0">
                <anchor moveWithCells="1">
                  <from>
                    <xdr:col>4</xdr:col>
                    <xdr:colOff>19050</xdr:colOff>
                    <xdr:row>110</xdr:row>
                    <xdr:rowOff>0</xdr:rowOff>
                  </from>
                  <to>
                    <xdr:col>4</xdr:col>
                    <xdr:colOff>228600</xdr:colOff>
                    <xdr:row>110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2" r:id="rId317" name="Check Box 350">
              <controlPr defaultSize="0" autoFill="0" autoLine="0" autoPict="0">
                <anchor moveWithCells="1">
                  <from>
                    <xdr:col>4</xdr:col>
                    <xdr:colOff>19050</xdr:colOff>
                    <xdr:row>111</xdr:row>
                    <xdr:rowOff>0</xdr:rowOff>
                  </from>
                  <to>
                    <xdr:col>4</xdr:col>
                    <xdr:colOff>228600</xdr:colOff>
                    <xdr:row>111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3" r:id="rId318" name="Check Box 351">
              <controlPr defaultSize="0" autoFill="0" autoLine="0" autoPict="0">
                <anchor moveWithCells="1">
                  <from>
                    <xdr:col>4</xdr:col>
                    <xdr:colOff>19050</xdr:colOff>
                    <xdr:row>94</xdr:row>
                    <xdr:rowOff>0</xdr:rowOff>
                  </from>
                  <to>
                    <xdr:col>4</xdr:col>
                    <xdr:colOff>228600</xdr:colOff>
                    <xdr:row>94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4" r:id="rId319" name="Check Box 352">
              <controlPr defaultSize="0" autoFill="0" autoLine="0" autoPict="0">
                <anchor moveWithCells="1">
                  <from>
                    <xdr:col>4</xdr:col>
                    <xdr:colOff>19050</xdr:colOff>
                    <xdr:row>95</xdr:row>
                    <xdr:rowOff>0</xdr:rowOff>
                  </from>
                  <to>
                    <xdr:col>4</xdr:col>
                    <xdr:colOff>228600</xdr:colOff>
                    <xdr:row>95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5" r:id="rId320" name="Check Box 353">
              <controlPr defaultSize="0" autoFill="0" autoLine="0" autoPict="0">
                <anchor moveWithCells="1">
                  <from>
                    <xdr:col>4</xdr:col>
                    <xdr:colOff>19050</xdr:colOff>
                    <xdr:row>172</xdr:row>
                    <xdr:rowOff>0</xdr:rowOff>
                  </from>
                  <to>
                    <xdr:col>4</xdr:col>
                    <xdr:colOff>228600</xdr:colOff>
                    <xdr:row>172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6" r:id="rId321" name="Check Box 354">
              <controlPr defaultSize="0" autoFill="0" autoLine="0" autoPict="0">
                <anchor moveWithCells="1">
                  <from>
                    <xdr:col>4</xdr:col>
                    <xdr:colOff>19050</xdr:colOff>
                    <xdr:row>173</xdr:row>
                    <xdr:rowOff>0</xdr:rowOff>
                  </from>
                  <to>
                    <xdr:col>4</xdr:col>
                    <xdr:colOff>228600</xdr:colOff>
                    <xdr:row>173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6" r:id="rId322" name="Check Box 364">
              <controlPr defaultSize="0" autoFill="0" autoLine="0" autoPict="0">
                <anchor moveWithCells="1">
                  <from>
                    <xdr:col>4</xdr:col>
                    <xdr:colOff>19050</xdr:colOff>
                    <xdr:row>7</xdr:row>
                    <xdr:rowOff>9525</xdr:rowOff>
                  </from>
                  <to>
                    <xdr:col>4</xdr:col>
                    <xdr:colOff>228600</xdr:colOff>
                    <xdr:row>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7" r:id="rId323" name="Check Box 365">
              <controlPr defaultSize="0" autoFill="0" autoLine="0" autoPict="0">
                <anchor moveWithCells="1">
                  <from>
                    <xdr:col>4</xdr:col>
                    <xdr:colOff>19050</xdr:colOff>
                    <xdr:row>8</xdr:row>
                    <xdr:rowOff>9525</xdr:rowOff>
                  </from>
                  <to>
                    <xdr:col>4</xdr:col>
                    <xdr:colOff>228600</xdr:colOff>
                    <xdr:row>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8" r:id="rId324" name="Check Box 366">
              <controlPr defaultSize="0" autoFill="0" autoLine="0" autoPict="0">
                <anchor moveWithCells="1">
                  <from>
                    <xdr:col>4</xdr:col>
                    <xdr:colOff>19050</xdr:colOff>
                    <xdr:row>9</xdr:row>
                    <xdr:rowOff>9525</xdr:rowOff>
                  </from>
                  <to>
                    <xdr:col>4</xdr:col>
                    <xdr:colOff>228600</xdr:colOff>
                    <xdr:row>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9" r:id="rId325" name="Check Box 367">
              <controlPr defaultSize="0" autoFill="0" autoLine="0" autoPict="0">
                <anchor moveWithCells="1">
                  <from>
                    <xdr:col>4</xdr:col>
                    <xdr:colOff>19050</xdr:colOff>
                    <xdr:row>10</xdr:row>
                    <xdr:rowOff>9525</xdr:rowOff>
                  </from>
                  <to>
                    <xdr:col>4</xdr:col>
                    <xdr:colOff>228600</xdr:colOff>
                    <xdr:row>10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0" r:id="rId326" name="Check Box 368">
              <controlPr defaultSize="0" autoFill="0" autoLine="0" autoPict="0">
                <anchor moveWithCells="1">
                  <from>
                    <xdr:col>4</xdr:col>
                    <xdr:colOff>19050</xdr:colOff>
                    <xdr:row>11</xdr:row>
                    <xdr:rowOff>9525</xdr:rowOff>
                  </from>
                  <to>
                    <xdr:col>4</xdr:col>
                    <xdr:colOff>228600</xdr:colOff>
                    <xdr:row>11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1" r:id="rId327" name="Check Box 369">
              <controlPr defaultSize="0" autoFill="0" autoLine="0" autoPict="0">
                <anchor moveWithCells="1">
                  <from>
                    <xdr:col>4</xdr:col>
                    <xdr:colOff>19050</xdr:colOff>
                    <xdr:row>18</xdr:row>
                    <xdr:rowOff>9525</xdr:rowOff>
                  </from>
                  <to>
                    <xdr:col>4</xdr:col>
                    <xdr:colOff>228600</xdr:colOff>
                    <xdr:row>18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2" r:id="rId328" name="Check Box 370">
              <controlPr defaultSize="0" autoFill="0" autoLine="0" autoPict="0">
                <anchor moveWithCells="1">
                  <from>
                    <xdr:col>4</xdr:col>
                    <xdr:colOff>19050</xdr:colOff>
                    <xdr:row>19</xdr:row>
                    <xdr:rowOff>9525</xdr:rowOff>
                  </from>
                  <to>
                    <xdr:col>4</xdr:col>
                    <xdr:colOff>228600</xdr:colOff>
                    <xdr:row>19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3" r:id="rId329" name="Check Box 371">
              <controlPr defaultSize="0" autoFill="0" autoLine="0" autoPict="0">
                <anchor moveWithCells="1">
                  <from>
                    <xdr:col>4</xdr:col>
                    <xdr:colOff>19050</xdr:colOff>
                    <xdr:row>20</xdr:row>
                    <xdr:rowOff>9525</xdr:rowOff>
                  </from>
                  <to>
                    <xdr:col>4</xdr:col>
                    <xdr:colOff>228600</xdr:colOff>
                    <xdr:row>20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4" r:id="rId330" name="Check Box 372">
              <controlPr defaultSize="0" autoFill="0" autoLine="0" autoPict="0">
                <anchor moveWithCells="1">
                  <from>
                    <xdr:col>4</xdr:col>
                    <xdr:colOff>19050</xdr:colOff>
                    <xdr:row>21</xdr:row>
                    <xdr:rowOff>9525</xdr:rowOff>
                  </from>
                  <to>
                    <xdr:col>4</xdr:col>
                    <xdr:colOff>228600</xdr:colOff>
                    <xdr:row>21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5" r:id="rId331" name="Check Box 373">
              <controlPr defaultSize="0" autoFill="0" autoLine="0" autoPict="0">
                <anchor moveWithCells="1">
                  <from>
                    <xdr:col>4</xdr:col>
                    <xdr:colOff>19050</xdr:colOff>
                    <xdr:row>22</xdr:row>
                    <xdr:rowOff>9525</xdr:rowOff>
                  </from>
                  <to>
                    <xdr:col>4</xdr:col>
                    <xdr:colOff>228600</xdr:colOff>
                    <xdr:row>22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6" r:id="rId332" name="Check Box 374">
              <controlPr defaultSize="0" autoFill="0" autoLine="0" autoPict="0">
                <anchor moveWithCells="1">
                  <from>
                    <xdr:col>4</xdr:col>
                    <xdr:colOff>19050</xdr:colOff>
                    <xdr:row>23</xdr:row>
                    <xdr:rowOff>9525</xdr:rowOff>
                  </from>
                  <to>
                    <xdr:col>4</xdr:col>
                    <xdr:colOff>228600</xdr:colOff>
                    <xdr:row>23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7" r:id="rId333" name="Check Box 375">
              <controlPr defaultSize="0" autoFill="0" autoLine="0" autoPict="0">
                <anchor moveWithCells="1">
                  <from>
                    <xdr:col>4</xdr:col>
                    <xdr:colOff>19050</xdr:colOff>
                    <xdr:row>24</xdr:row>
                    <xdr:rowOff>9525</xdr:rowOff>
                  </from>
                  <to>
                    <xdr:col>4</xdr:col>
                    <xdr:colOff>228600</xdr:colOff>
                    <xdr:row>24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8" r:id="rId334" name="Check Box 376">
              <controlPr defaultSize="0" autoFill="0" autoLine="0" autoPict="0">
                <anchor moveWithCells="1">
                  <from>
                    <xdr:col>4</xdr:col>
                    <xdr:colOff>19050</xdr:colOff>
                    <xdr:row>25</xdr:row>
                    <xdr:rowOff>9525</xdr:rowOff>
                  </from>
                  <to>
                    <xdr:col>4</xdr:col>
                    <xdr:colOff>228600</xdr:colOff>
                    <xdr:row>25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9" r:id="rId335" name="Check Box 377">
              <controlPr defaultSize="0" autoFill="0" autoLine="0" autoPict="0">
                <anchor moveWithCells="1">
                  <from>
                    <xdr:col>4</xdr:col>
                    <xdr:colOff>19050</xdr:colOff>
                    <xdr:row>26</xdr:row>
                    <xdr:rowOff>9525</xdr:rowOff>
                  </from>
                  <to>
                    <xdr:col>4</xdr:col>
                    <xdr:colOff>228600</xdr:colOff>
                    <xdr:row>26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1" r:id="rId336" name="Check Box 379">
              <controlPr defaultSize="0" autoFill="0" autoLine="0" autoPict="0">
                <anchor moveWithCells="1">
                  <from>
                    <xdr:col>4</xdr:col>
                    <xdr:colOff>19050</xdr:colOff>
                    <xdr:row>7</xdr:row>
                    <xdr:rowOff>9525</xdr:rowOff>
                  </from>
                  <to>
                    <xdr:col>4</xdr:col>
                    <xdr:colOff>228600</xdr:colOff>
                    <xdr:row>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2" r:id="rId337" name="Check Box 380">
              <controlPr defaultSize="0" autoFill="0" autoLine="0" autoPict="0">
                <anchor moveWithCells="1">
                  <from>
                    <xdr:col>4</xdr:col>
                    <xdr:colOff>19050</xdr:colOff>
                    <xdr:row>8</xdr:row>
                    <xdr:rowOff>9525</xdr:rowOff>
                  </from>
                  <to>
                    <xdr:col>4</xdr:col>
                    <xdr:colOff>228600</xdr:colOff>
                    <xdr:row>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3" r:id="rId338" name="Check Box 381">
              <controlPr defaultSize="0" autoFill="0" autoLine="0" autoPict="0">
                <anchor moveWithCells="1">
                  <from>
                    <xdr:col>4</xdr:col>
                    <xdr:colOff>19050</xdr:colOff>
                    <xdr:row>9</xdr:row>
                    <xdr:rowOff>9525</xdr:rowOff>
                  </from>
                  <to>
                    <xdr:col>4</xdr:col>
                    <xdr:colOff>228600</xdr:colOff>
                    <xdr:row>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4" r:id="rId339" name="Check Box 382">
              <controlPr defaultSize="0" autoFill="0" autoLine="0" autoPict="0">
                <anchor moveWithCells="1">
                  <from>
                    <xdr:col>4</xdr:col>
                    <xdr:colOff>19050</xdr:colOff>
                    <xdr:row>10</xdr:row>
                    <xdr:rowOff>9525</xdr:rowOff>
                  </from>
                  <to>
                    <xdr:col>4</xdr:col>
                    <xdr:colOff>228600</xdr:colOff>
                    <xdr:row>10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5" r:id="rId340" name="Check Box 383">
              <controlPr defaultSize="0" autoFill="0" autoLine="0" autoPict="0">
                <anchor moveWithCells="1">
                  <from>
                    <xdr:col>4</xdr:col>
                    <xdr:colOff>19050</xdr:colOff>
                    <xdr:row>11</xdr:row>
                    <xdr:rowOff>9525</xdr:rowOff>
                  </from>
                  <to>
                    <xdr:col>4</xdr:col>
                    <xdr:colOff>228600</xdr:colOff>
                    <xdr:row>11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6" r:id="rId341" name="Check Box 384">
              <controlPr defaultSize="0" autoFill="0" autoLine="0" autoPict="0">
                <anchor moveWithCells="1">
                  <from>
                    <xdr:col>4</xdr:col>
                    <xdr:colOff>19050</xdr:colOff>
                    <xdr:row>18</xdr:row>
                    <xdr:rowOff>9525</xdr:rowOff>
                  </from>
                  <to>
                    <xdr:col>4</xdr:col>
                    <xdr:colOff>228600</xdr:colOff>
                    <xdr:row>18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7" r:id="rId342" name="Check Box 385">
              <controlPr defaultSize="0" autoFill="0" autoLine="0" autoPict="0">
                <anchor moveWithCells="1">
                  <from>
                    <xdr:col>4</xdr:col>
                    <xdr:colOff>19050</xdr:colOff>
                    <xdr:row>19</xdr:row>
                    <xdr:rowOff>9525</xdr:rowOff>
                  </from>
                  <to>
                    <xdr:col>4</xdr:col>
                    <xdr:colOff>228600</xdr:colOff>
                    <xdr:row>19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8" r:id="rId343" name="Check Box 386">
              <controlPr defaultSize="0" autoFill="0" autoLine="0" autoPict="0">
                <anchor moveWithCells="1">
                  <from>
                    <xdr:col>4</xdr:col>
                    <xdr:colOff>19050</xdr:colOff>
                    <xdr:row>20</xdr:row>
                    <xdr:rowOff>9525</xdr:rowOff>
                  </from>
                  <to>
                    <xdr:col>4</xdr:col>
                    <xdr:colOff>228600</xdr:colOff>
                    <xdr:row>20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9" r:id="rId344" name="Check Box 387">
              <controlPr defaultSize="0" autoFill="0" autoLine="0" autoPict="0">
                <anchor moveWithCells="1">
                  <from>
                    <xdr:col>4</xdr:col>
                    <xdr:colOff>19050</xdr:colOff>
                    <xdr:row>21</xdr:row>
                    <xdr:rowOff>9525</xdr:rowOff>
                  </from>
                  <to>
                    <xdr:col>4</xdr:col>
                    <xdr:colOff>228600</xdr:colOff>
                    <xdr:row>21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0" r:id="rId345" name="Check Box 388">
              <controlPr defaultSize="0" autoFill="0" autoLine="0" autoPict="0">
                <anchor moveWithCells="1">
                  <from>
                    <xdr:col>4</xdr:col>
                    <xdr:colOff>19050</xdr:colOff>
                    <xdr:row>22</xdr:row>
                    <xdr:rowOff>9525</xdr:rowOff>
                  </from>
                  <to>
                    <xdr:col>4</xdr:col>
                    <xdr:colOff>228600</xdr:colOff>
                    <xdr:row>22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1" r:id="rId346" name="Check Box 389">
              <controlPr defaultSize="0" autoFill="0" autoLine="0" autoPict="0">
                <anchor moveWithCells="1">
                  <from>
                    <xdr:col>4</xdr:col>
                    <xdr:colOff>19050</xdr:colOff>
                    <xdr:row>23</xdr:row>
                    <xdr:rowOff>9525</xdr:rowOff>
                  </from>
                  <to>
                    <xdr:col>4</xdr:col>
                    <xdr:colOff>228600</xdr:colOff>
                    <xdr:row>23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2" r:id="rId347" name="Check Box 390">
              <controlPr defaultSize="0" autoFill="0" autoLine="0" autoPict="0">
                <anchor moveWithCells="1">
                  <from>
                    <xdr:col>4</xdr:col>
                    <xdr:colOff>19050</xdr:colOff>
                    <xdr:row>24</xdr:row>
                    <xdr:rowOff>9525</xdr:rowOff>
                  </from>
                  <to>
                    <xdr:col>4</xdr:col>
                    <xdr:colOff>228600</xdr:colOff>
                    <xdr:row>24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3" r:id="rId348" name="Check Box 391">
              <controlPr defaultSize="0" autoFill="0" autoLine="0" autoPict="0">
                <anchor moveWithCells="1">
                  <from>
                    <xdr:col>4</xdr:col>
                    <xdr:colOff>19050</xdr:colOff>
                    <xdr:row>25</xdr:row>
                    <xdr:rowOff>9525</xdr:rowOff>
                  </from>
                  <to>
                    <xdr:col>4</xdr:col>
                    <xdr:colOff>228600</xdr:colOff>
                    <xdr:row>25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4" r:id="rId349" name="Check Box 392">
              <controlPr defaultSize="0" autoFill="0" autoLine="0" autoPict="0">
                <anchor moveWithCells="1">
                  <from>
                    <xdr:col>4</xdr:col>
                    <xdr:colOff>19050</xdr:colOff>
                    <xdr:row>26</xdr:row>
                    <xdr:rowOff>9525</xdr:rowOff>
                  </from>
                  <to>
                    <xdr:col>4</xdr:col>
                    <xdr:colOff>228600</xdr:colOff>
                    <xdr:row>26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3" r:id="rId350" name="Check Box 401">
              <controlPr defaultSize="0" autoFill="0" autoLine="0" autoPict="0">
                <anchor moveWithCells="1">
                  <from>
                    <xdr:col>4</xdr:col>
                    <xdr:colOff>19050</xdr:colOff>
                    <xdr:row>50</xdr:row>
                    <xdr:rowOff>0</xdr:rowOff>
                  </from>
                  <to>
                    <xdr:col>4</xdr:col>
                    <xdr:colOff>228600</xdr:colOff>
                    <xdr:row>50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4" r:id="rId351" name="Check Box 402">
              <controlPr defaultSize="0" autoFill="0" autoLine="0" autoPict="0">
                <anchor moveWithCells="1">
                  <from>
                    <xdr:col>4</xdr:col>
                    <xdr:colOff>19050</xdr:colOff>
                    <xdr:row>51</xdr:row>
                    <xdr:rowOff>0</xdr:rowOff>
                  </from>
                  <to>
                    <xdr:col>4</xdr:col>
                    <xdr:colOff>228600</xdr:colOff>
                    <xdr:row>51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5" r:id="rId352" name="Check Box 403">
              <controlPr defaultSize="0" autoFill="0" autoLine="0" autoPict="0">
                <anchor moveWithCells="1">
                  <from>
                    <xdr:col>4</xdr:col>
                    <xdr:colOff>19050</xdr:colOff>
                    <xdr:row>52</xdr:row>
                    <xdr:rowOff>0</xdr:rowOff>
                  </from>
                  <to>
                    <xdr:col>4</xdr:col>
                    <xdr:colOff>228600</xdr:colOff>
                    <xdr:row>52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6" r:id="rId353" name="Check Box 404">
              <controlPr defaultSize="0" autoFill="0" autoLine="0" autoPict="0">
                <anchor moveWithCells="1">
                  <from>
                    <xdr:col>4</xdr:col>
                    <xdr:colOff>19050</xdr:colOff>
                    <xdr:row>53</xdr:row>
                    <xdr:rowOff>0</xdr:rowOff>
                  </from>
                  <to>
                    <xdr:col>4</xdr:col>
                    <xdr:colOff>228600</xdr:colOff>
                    <xdr:row>53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7" r:id="rId354" name="Check Box 405">
              <controlPr defaultSize="0" autoFill="0" autoLine="0" autoPict="0">
                <anchor moveWithCells="1">
                  <from>
                    <xdr:col>4</xdr:col>
                    <xdr:colOff>19050</xdr:colOff>
                    <xdr:row>54</xdr:row>
                    <xdr:rowOff>0</xdr:rowOff>
                  </from>
                  <to>
                    <xdr:col>4</xdr:col>
                    <xdr:colOff>228600</xdr:colOff>
                    <xdr:row>54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8" r:id="rId355" name="Check Box 406">
              <controlPr defaultSize="0" autoFill="0" autoLine="0" autoPict="0">
                <anchor moveWithCells="1">
                  <from>
                    <xdr:col>4</xdr:col>
                    <xdr:colOff>19050</xdr:colOff>
                    <xdr:row>55</xdr:row>
                    <xdr:rowOff>0</xdr:rowOff>
                  </from>
                  <to>
                    <xdr:col>4</xdr:col>
                    <xdr:colOff>228600</xdr:colOff>
                    <xdr:row>55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9" r:id="rId356" name="Check Box 407">
              <controlPr defaultSize="0" autoFill="0" autoLine="0" autoPict="0">
                <anchor moveWithCells="1">
                  <from>
                    <xdr:col>4</xdr:col>
                    <xdr:colOff>19050</xdr:colOff>
                    <xdr:row>284</xdr:row>
                    <xdr:rowOff>0</xdr:rowOff>
                  </from>
                  <to>
                    <xdr:col>4</xdr:col>
                    <xdr:colOff>228600</xdr:colOff>
                    <xdr:row>284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0" r:id="rId357" name="Check Box 408">
              <controlPr defaultSize="0" autoFill="0" autoLine="0" autoPict="0">
                <anchor moveWithCells="1">
                  <from>
                    <xdr:col>4</xdr:col>
                    <xdr:colOff>19050</xdr:colOff>
                    <xdr:row>285</xdr:row>
                    <xdr:rowOff>0</xdr:rowOff>
                  </from>
                  <to>
                    <xdr:col>4</xdr:col>
                    <xdr:colOff>228600</xdr:colOff>
                    <xdr:row>285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1" r:id="rId358" name="Check Box 409">
              <controlPr defaultSize="0" autoFill="0" autoLine="0" autoPict="0">
                <anchor moveWithCells="1">
                  <from>
                    <xdr:col>4</xdr:col>
                    <xdr:colOff>19050</xdr:colOff>
                    <xdr:row>286</xdr:row>
                    <xdr:rowOff>0</xdr:rowOff>
                  </from>
                  <to>
                    <xdr:col>4</xdr:col>
                    <xdr:colOff>228600</xdr:colOff>
                    <xdr:row>286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2" r:id="rId359" name="Check Box 410">
              <controlPr defaultSize="0" autoFill="0" autoLine="0" autoPict="0">
                <anchor moveWithCells="1">
                  <from>
                    <xdr:col>4</xdr:col>
                    <xdr:colOff>19050</xdr:colOff>
                    <xdr:row>287</xdr:row>
                    <xdr:rowOff>0</xdr:rowOff>
                  </from>
                  <to>
                    <xdr:col>4</xdr:col>
                    <xdr:colOff>228600</xdr:colOff>
                    <xdr:row>287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3" r:id="rId360" name="Check Box 411">
              <controlPr defaultSize="0" autoFill="0" autoLine="0" autoPict="0">
                <anchor moveWithCells="1">
                  <from>
                    <xdr:col>4</xdr:col>
                    <xdr:colOff>19050</xdr:colOff>
                    <xdr:row>288</xdr:row>
                    <xdr:rowOff>0</xdr:rowOff>
                  </from>
                  <to>
                    <xdr:col>4</xdr:col>
                    <xdr:colOff>228600</xdr:colOff>
                    <xdr:row>288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4" r:id="rId361" name="Check Box 412">
              <controlPr defaultSize="0" autoFill="0" autoLine="0" autoPict="0">
                <anchor moveWithCells="1">
                  <from>
                    <xdr:col>4</xdr:col>
                    <xdr:colOff>19050</xdr:colOff>
                    <xdr:row>289</xdr:row>
                    <xdr:rowOff>0</xdr:rowOff>
                  </from>
                  <to>
                    <xdr:col>4</xdr:col>
                    <xdr:colOff>228600</xdr:colOff>
                    <xdr:row>289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5" r:id="rId362" name="Check Box 413">
              <controlPr defaultSize="0" autoFill="0" autoLine="0" autoPict="0">
                <anchor moveWithCells="1">
                  <from>
                    <xdr:col>4</xdr:col>
                    <xdr:colOff>19050</xdr:colOff>
                    <xdr:row>290</xdr:row>
                    <xdr:rowOff>0</xdr:rowOff>
                  </from>
                  <to>
                    <xdr:col>4</xdr:col>
                    <xdr:colOff>228600</xdr:colOff>
                    <xdr:row>290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6" r:id="rId363" name="Check Box 414">
              <controlPr defaultSize="0" autoFill="0" autoLine="0" autoPict="0">
                <anchor moveWithCells="1">
                  <from>
                    <xdr:col>4</xdr:col>
                    <xdr:colOff>19050</xdr:colOff>
                    <xdr:row>291</xdr:row>
                    <xdr:rowOff>0</xdr:rowOff>
                  </from>
                  <to>
                    <xdr:col>4</xdr:col>
                    <xdr:colOff>228600</xdr:colOff>
                    <xdr:row>291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9" r:id="rId364" name="Check Box 417">
              <controlPr defaultSize="0" autoFill="0" autoLine="0" autoPict="0">
                <anchor moveWithCells="1">
                  <from>
                    <xdr:col>4</xdr:col>
                    <xdr:colOff>19050</xdr:colOff>
                    <xdr:row>12</xdr:row>
                    <xdr:rowOff>0</xdr:rowOff>
                  </from>
                  <to>
                    <xdr:col>4</xdr:col>
                    <xdr:colOff>228600</xdr:colOff>
                    <xdr:row>12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0" r:id="rId365" name="Check Box 418">
              <controlPr defaultSize="0" autoFill="0" autoLine="0" autoPict="0">
                <anchor moveWithCells="1">
                  <from>
                    <xdr:col>4</xdr:col>
                    <xdr:colOff>19050</xdr:colOff>
                    <xdr:row>13</xdr:row>
                    <xdr:rowOff>0</xdr:rowOff>
                  </from>
                  <to>
                    <xdr:col>4</xdr:col>
                    <xdr:colOff>228600</xdr:colOff>
                    <xdr:row>13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1" r:id="rId366" name="Check Box 419">
              <controlPr defaultSize="0" autoFill="0" autoLine="0" autoPict="0">
                <anchor moveWithCells="1">
                  <from>
                    <xdr:col>4</xdr:col>
                    <xdr:colOff>19050</xdr:colOff>
                    <xdr:row>14</xdr:row>
                    <xdr:rowOff>0</xdr:rowOff>
                  </from>
                  <to>
                    <xdr:col>4</xdr:col>
                    <xdr:colOff>228600</xdr:colOff>
                    <xdr:row>14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2" r:id="rId367" name="Check Box 420">
              <controlPr defaultSize="0" autoFill="0" autoLine="0" autoPict="0">
                <anchor moveWithCells="1">
                  <from>
                    <xdr:col>4</xdr:col>
                    <xdr:colOff>19050</xdr:colOff>
                    <xdr:row>15</xdr:row>
                    <xdr:rowOff>0</xdr:rowOff>
                  </from>
                  <to>
                    <xdr:col>4</xdr:col>
                    <xdr:colOff>228600</xdr:colOff>
                    <xdr:row>15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3" r:id="rId368" name="Check Box 421">
              <controlPr defaultSize="0" autoFill="0" autoLine="0" autoPict="0">
                <anchor moveWithCells="1">
                  <from>
                    <xdr:col>4</xdr:col>
                    <xdr:colOff>19050</xdr:colOff>
                    <xdr:row>16</xdr:row>
                    <xdr:rowOff>0</xdr:rowOff>
                  </from>
                  <to>
                    <xdr:col>4</xdr:col>
                    <xdr:colOff>228600</xdr:colOff>
                    <xdr:row>16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4" r:id="rId369" name="Check Box 422">
              <controlPr defaultSize="0" autoFill="0" autoLine="0" autoPict="0">
                <anchor moveWithCells="1">
                  <from>
                    <xdr:col>4</xdr:col>
                    <xdr:colOff>19050</xdr:colOff>
                    <xdr:row>17</xdr:row>
                    <xdr:rowOff>0</xdr:rowOff>
                  </from>
                  <to>
                    <xdr:col>4</xdr:col>
                    <xdr:colOff>228600</xdr:colOff>
                    <xdr:row>17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5" r:id="rId370" name="Check Box 423">
              <controlPr defaultSize="0" autoFill="0" autoLine="0" autoPict="0">
                <anchor moveWithCells="1">
                  <from>
                    <xdr:col>4</xdr:col>
                    <xdr:colOff>19050</xdr:colOff>
                    <xdr:row>12</xdr:row>
                    <xdr:rowOff>9525</xdr:rowOff>
                  </from>
                  <to>
                    <xdr:col>4</xdr:col>
                    <xdr:colOff>228600</xdr:colOff>
                    <xdr:row>12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6" r:id="rId371" name="Check Box 424">
              <controlPr defaultSize="0" autoFill="0" autoLine="0" autoPict="0">
                <anchor moveWithCells="1">
                  <from>
                    <xdr:col>4</xdr:col>
                    <xdr:colOff>19050</xdr:colOff>
                    <xdr:row>13</xdr:row>
                    <xdr:rowOff>9525</xdr:rowOff>
                  </from>
                  <to>
                    <xdr:col>4</xdr:col>
                    <xdr:colOff>228600</xdr:colOff>
                    <xdr:row>13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7" r:id="rId372" name="Check Box 425">
              <controlPr defaultSize="0" autoFill="0" autoLine="0" autoPict="0">
                <anchor moveWithCells="1">
                  <from>
                    <xdr:col>4</xdr:col>
                    <xdr:colOff>19050</xdr:colOff>
                    <xdr:row>14</xdr:row>
                    <xdr:rowOff>9525</xdr:rowOff>
                  </from>
                  <to>
                    <xdr:col>4</xdr:col>
                    <xdr:colOff>228600</xdr:colOff>
                    <xdr:row>14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8" r:id="rId373" name="Check Box 426">
              <controlPr defaultSize="0" autoFill="0" autoLine="0" autoPict="0">
                <anchor moveWithCells="1">
                  <from>
                    <xdr:col>4</xdr:col>
                    <xdr:colOff>19050</xdr:colOff>
                    <xdr:row>15</xdr:row>
                    <xdr:rowOff>9525</xdr:rowOff>
                  </from>
                  <to>
                    <xdr:col>4</xdr:col>
                    <xdr:colOff>228600</xdr:colOff>
                    <xdr:row>15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9" r:id="rId374" name="Check Box 427">
              <controlPr defaultSize="0" autoFill="0" autoLine="0" autoPict="0">
                <anchor moveWithCells="1">
                  <from>
                    <xdr:col>4</xdr:col>
                    <xdr:colOff>19050</xdr:colOff>
                    <xdr:row>16</xdr:row>
                    <xdr:rowOff>9525</xdr:rowOff>
                  </from>
                  <to>
                    <xdr:col>4</xdr:col>
                    <xdr:colOff>228600</xdr:colOff>
                    <xdr:row>16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0" r:id="rId375" name="Check Box 428">
              <controlPr defaultSize="0" autoFill="0" autoLine="0" autoPict="0">
                <anchor moveWithCells="1">
                  <from>
                    <xdr:col>4</xdr:col>
                    <xdr:colOff>19050</xdr:colOff>
                    <xdr:row>17</xdr:row>
                    <xdr:rowOff>9525</xdr:rowOff>
                  </from>
                  <to>
                    <xdr:col>4</xdr:col>
                    <xdr:colOff>228600</xdr:colOff>
                    <xdr:row>17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1" r:id="rId376" name="Check Box 429">
              <controlPr defaultSize="0" autoFill="0" autoLine="0" autoPict="0">
                <anchor moveWithCells="1">
                  <from>
                    <xdr:col>4</xdr:col>
                    <xdr:colOff>19050</xdr:colOff>
                    <xdr:row>12</xdr:row>
                    <xdr:rowOff>9525</xdr:rowOff>
                  </from>
                  <to>
                    <xdr:col>4</xdr:col>
                    <xdr:colOff>228600</xdr:colOff>
                    <xdr:row>12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2" r:id="rId377" name="Check Box 430">
              <controlPr defaultSize="0" autoFill="0" autoLine="0" autoPict="0">
                <anchor moveWithCells="1">
                  <from>
                    <xdr:col>4</xdr:col>
                    <xdr:colOff>19050</xdr:colOff>
                    <xdr:row>13</xdr:row>
                    <xdr:rowOff>9525</xdr:rowOff>
                  </from>
                  <to>
                    <xdr:col>4</xdr:col>
                    <xdr:colOff>228600</xdr:colOff>
                    <xdr:row>13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3" r:id="rId378" name="Check Box 431">
              <controlPr defaultSize="0" autoFill="0" autoLine="0" autoPict="0">
                <anchor moveWithCells="1">
                  <from>
                    <xdr:col>4</xdr:col>
                    <xdr:colOff>19050</xdr:colOff>
                    <xdr:row>14</xdr:row>
                    <xdr:rowOff>9525</xdr:rowOff>
                  </from>
                  <to>
                    <xdr:col>4</xdr:col>
                    <xdr:colOff>228600</xdr:colOff>
                    <xdr:row>14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4" r:id="rId379" name="Check Box 432">
              <controlPr defaultSize="0" autoFill="0" autoLine="0" autoPict="0">
                <anchor moveWithCells="1">
                  <from>
                    <xdr:col>4</xdr:col>
                    <xdr:colOff>19050</xdr:colOff>
                    <xdr:row>15</xdr:row>
                    <xdr:rowOff>9525</xdr:rowOff>
                  </from>
                  <to>
                    <xdr:col>4</xdr:col>
                    <xdr:colOff>228600</xdr:colOff>
                    <xdr:row>15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5" r:id="rId380" name="Check Box 433">
              <controlPr defaultSize="0" autoFill="0" autoLine="0" autoPict="0">
                <anchor moveWithCells="1">
                  <from>
                    <xdr:col>4</xdr:col>
                    <xdr:colOff>19050</xdr:colOff>
                    <xdr:row>16</xdr:row>
                    <xdr:rowOff>9525</xdr:rowOff>
                  </from>
                  <to>
                    <xdr:col>4</xdr:col>
                    <xdr:colOff>228600</xdr:colOff>
                    <xdr:row>16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6" r:id="rId381" name="Check Box 434">
              <controlPr defaultSize="0" autoFill="0" autoLine="0" autoPict="0">
                <anchor moveWithCells="1">
                  <from>
                    <xdr:col>4</xdr:col>
                    <xdr:colOff>19050</xdr:colOff>
                    <xdr:row>17</xdr:row>
                    <xdr:rowOff>9525</xdr:rowOff>
                  </from>
                  <to>
                    <xdr:col>4</xdr:col>
                    <xdr:colOff>228600</xdr:colOff>
                    <xdr:row>17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7" r:id="rId382" name="Check Box 435">
              <controlPr defaultSize="0" autoFill="0" autoLine="0" autoPict="0">
                <anchor moveWithCells="1">
                  <from>
                    <xdr:col>4</xdr:col>
                    <xdr:colOff>19050</xdr:colOff>
                    <xdr:row>158</xdr:row>
                    <xdr:rowOff>0</xdr:rowOff>
                  </from>
                  <to>
                    <xdr:col>4</xdr:col>
                    <xdr:colOff>228600</xdr:colOff>
                    <xdr:row>158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8" r:id="rId383" name="Check Box 436">
              <controlPr defaultSize="0" autoFill="0" autoLine="0" autoPict="0">
                <anchor moveWithCells="1">
                  <from>
                    <xdr:col>4</xdr:col>
                    <xdr:colOff>19050</xdr:colOff>
                    <xdr:row>159</xdr:row>
                    <xdr:rowOff>0</xdr:rowOff>
                  </from>
                  <to>
                    <xdr:col>4</xdr:col>
                    <xdr:colOff>228600</xdr:colOff>
                    <xdr:row>159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9" r:id="rId384" name="Check Box 437">
              <controlPr defaultSize="0" autoFill="0" autoLine="0" autoPict="0">
                <anchor moveWithCells="1">
                  <from>
                    <xdr:col>4</xdr:col>
                    <xdr:colOff>19050</xdr:colOff>
                    <xdr:row>160</xdr:row>
                    <xdr:rowOff>0</xdr:rowOff>
                  </from>
                  <to>
                    <xdr:col>4</xdr:col>
                    <xdr:colOff>228600</xdr:colOff>
                    <xdr:row>160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0" r:id="rId385" name="Check Box 438">
              <controlPr defaultSize="0" autoFill="0" autoLine="0" autoPict="0">
                <anchor moveWithCells="1">
                  <from>
                    <xdr:col>4</xdr:col>
                    <xdr:colOff>19050</xdr:colOff>
                    <xdr:row>161</xdr:row>
                    <xdr:rowOff>0</xdr:rowOff>
                  </from>
                  <to>
                    <xdr:col>4</xdr:col>
                    <xdr:colOff>228600</xdr:colOff>
                    <xdr:row>161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1" r:id="rId386" name="Check Box 439">
              <controlPr defaultSize="0" autoFill="0" autoLine="0" autoPict="0">
                <anchor moveWithCells="1">
                  <from>
                    <xdr:col>4</xdr:col>
                    <xdr:colOff>19050</xdr:colOff>
                    <xdr:row>162</xdr:row>
                    <xdr:rowOff>0</xdr:rowOff>
                  </from>
                  <to>
                    <xdr:col>4</xdr:col>
                    <xdr:colOff>228600</xdr:colOff>
                    <xdr:row>162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2" r:id="rId387" name="Check Box 440">
              <controlPr defaultSize="0" autoFill="0" autoLine="0" autoPict="0">
                <anchor moveWithCells="1">
                  <from>
                    <xdr:col>4</xdr:col>
                    <xdr:colOff>19050</xdr:colOff>
                    <xdr:row>163</xdr:row>
                    <xdr:rowOff>0</xdr:rowOff>
                  </from>
                  <to>
                    <xdr:col>4</xdr:col>
                    <xdr:colOff>228600</xdr:colOff>
                    <xdr:row>163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3" r:id="rId388" name="Check Box 441">
              <controlPr defaultSize="0" autoFill="0" autoLine="0" autoPict="0">
                <anchor moveWithCells="1">
                  <from>
                    <xdr:col>4</xdr:col>
                    <xdr:colOff>19050</xdr:colOff>
                    <xdr:row>206</xdr:row>
                    <xdr:rowOff>0</xdr:rowOff>
                  </from>
                  <to>
                    <xdr:col>4</xdr:col>
                    <xdr:colOff>228600</xdr:colOff>
                    <xdr:row>206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4" r:id="rId389" name="Check Box 442">
              <controlPr defaultSize="0" autoFill="0" autoLine="0" autoPict="0">
                <anchor moveWithCells="1">
                  <from>
                    <xdr:col>4</xdr:col>
                    <xdr:colOff>19050</xdr:colOff>
                    <xdr:row>207</xdr:row>
                    <xdr:rowOff>0</xdr:rowOff>
                  </from>
                  <to>
                    <xdr:col>4</xdr:col>
                    <xdr:colOff>228600</xdr:colOff>
                    <xdr:row>207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7" r:id="rId390" name="Check Box 445">
              <controlPr defaultSize="0" autoFill="0" autoLine="0" autoPict="0">
                <anchor moveWithCells="1">
                  <from>
                    <xdr:col>4</xdr:col>
                    <xdr:colOff>19050</xdr:colOff>
                    <xdr:row>226</xdr:row>
                    <xdr:rowOff>0</xdr:rowOff>
                  </from>
                  <to>
                    <xdr:col>4</xdr:col>
                    <xdr:colOff>228600</xdr:colOff>
                    <xdr:row>226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8" r:id="rId391" name="Check Box 446">
              <controlPr defaultSize="0" autoFill="0" autoLine="0" autoPict="0">
                <anchor moveWithCells="1">
                  <from>
                    <xdr:col>4</xdr:col>
                    <xdr:colOff>19050</xdr:colOff>
                    <xdr:row>227</xdr:row>
                    <xdr:rowOff>0</xdr:rowOff>
                  </from>
                  <to>
                    <xdr:col>4</xdr:col>
                    <xdr:colOff>228600</xdr:colOff>
                    <xdr:row>227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9" r:id="rId392" name="Check Box 447">
              <controlPr defaultSize="0" autoFill="0" autoLine="0" autoPict="0">
                <anchor moveWithCells="1">
                  <from>
                    <xdr:col>4</xdr:col>
                    <xdr:colOff>19050</xdr:colOff>
                    <xdr:row>240</xdr:row>
                    <xdr:rowOff>0</xdr:rowOff>
                  </from>
                  <to>
                    <xdr:col>4</xdr:col>
                    <xdr:colOff>228600</xdr:colOff>
                    <xdr:row>240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0" r:id="rId393" name="Check Box 448">
              <controlPr defaultSize="0" autoFill="0" autoLine="0" autoPict="0">
                <anchor moveWithCells="1">
                  <from>
                    <xdr:col>4</xdr:col>
                    <xdr:colOff>19050</xdr:colOff>
                    <xdr:row>241</xdr:row>
                    <xdr:rowOff>0</xdr:rowOff>
                  </from>
                  <to>
                    <xdr:col>4</xdr:col>
                    <xdr:colOff>228600</xdr:colOff>
                    <xdr:row>241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1" r:id="rId394" name="Check Box 449">
              <controlPr defaultSize="0" autoFill="0" autoLine="0" autoPict="0">
                <anchor moveWithCells="1">
                  <from>
                    <xdr:col>4</xdr:col>
                    <xdr:colOff>19050</xdr:colOff>
                    <xdr:row>242</xdr:row>
                    <xdr:rowOff>0</xdr:rowOff>
                  </from>
                  <to>
                    <xdr:col>4</xdr:col>
                    <xdr:colOff>228600</xdr:colOff>
                    <xdr:row>242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2" r:id="rId395" name="Check Box 450">
              <controlPr defaultSize="0" autoFill="0" autoLine="0" autoPict="0">
                <anchor moveWithCells="1">
                  <from>
                    <xdr:col>4</xdr:col>
                    <xdr:colOff>19050</xdr:colOff>
                    <xdr:row>243</xdr:row>
                    <xdr:rowOff>0</xdr:rowOff>
                  </from>
                  <to>
                    <xdr:col>4</xdr:col>
                    <xdr:colOff>228600</xdr:colOff>
                    <xdr:row>243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3" r:id="rId396" name="Check Box 451">
              <controlPr defaultSize="0" autoFill="0" autoLine="0" autoPict="0">
                <anchor moveWithCells="1">
                  <from>
                    <xdr:col>4</xdr:col>
                    <xdr:colOff>19050</xdr:colOff>
                    <xdr:row>244</xdr:row>
                    <xdr:rowOff>0</xdr:rowOff>
                  </from>
                  <to>
                    <xdr:col>4</xdr:col>
                    <xdr:colOff>228600</xdr:colOff>
                    <xdr:row>244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4" r:id="rId397" name="Check Box 452">
              <controlPr defaultSize="0" autoFill="0" autoLine="0" autoPict="0">
                <anchor moveWithCells="1">
                  <from>
                    <xdr:col>4</xdr:col>
                    <xdr:colOff>19050</xdr:colOff>
                    <xdr:row>245</xdr:row>
                    <xdr:rowOff>0</xdr:rowOff>
                  </from>
                  <to>
                    <xdr:col>4</xdr:col>
                    <xdr:colOff>228600</xdr:colOff>
                    <xdr:row>245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5" r:id="rId398" name="Check Box 453">
              <controlPr defaultSize="0" autoFill="0" autoLine="0" autoPict="0">
                <anchor moveWithCells="1">
                  <from>
                    <xdr:col>4</xdr:col>
                    <xdr:colOff>19050</xdr:colOff>
                    <xdr:row>246</xdr:row>
                    <xdr:rowOff>0</xdr:rowOff>
                  </from>
                  <to>
                    <xdr:col>4</xdr:col>
                    <xdr:colOff>228600</xdr:colOff>
                    <xdr:row>246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6" r:id="rId399" name="Check Box 454">
              <controlPr defaultSize="0" autoFill="0" autoLine="0" autoPict="0">
                <anchor moveWithCells="1">
                  <from>
                    <xdr:col>4</xdr:col>
                    <xdr:colOff>19050</xdr:colOff>
                    <xdr:row>247</xdr:row>
                    <xdr:rowOff>0</xdr:rowOff>
                  </from>
                  <to>
                    <xdr:col>4</xdr:col>
                    <xdr:colOff>228600</xdr:colOff>
                    <xdr:row>247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7" r:id="rId400" name="Check Box 455">
              <controlPr defaultSize="0" autoFill="0" autoLine="0" autoPict="0">
                <anchor moveWithCells="1">
                  <from>
                    <xdr:col>4</xdr:col>
                    <xdr:colOff>19050</xdr:colOff>
                    <xdr:row>208</xdr:row>
                    <xdr:rowOff>0</xdr:rowOff>
                  </from>
                  <to>
                    <xdr:col>4</xdr:col>
                    <xdr:colOff>228600</xdr:colOff>
                    <xdr:row>208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8" r:id="rId401" name="Check Box 456">
              <controlPr defaultSize="0" autoFill="0" autoLine="0" autoPict="0">
                <anchor moveWithCells="1">
                  <from>
                    <xdr:col>4</xdr:col>
                    <xdr:colOff>19050</xdr:colOff>
                    <xdr:row>209</xdr:row>
                    <xdr:rowOff>0</xdr:rowOff>
                  </from>
                  <to>
                    <xdr:col>4</xdr:col>
                    <xdr:colOff>228600</xdr:colOff>
                    <xdr:row>209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9" r:id="rId402" name="Check Box 457">
              <controlPr defaultSize="0" autoFill="0" autoLine="0" autoPict="0">
                <anchor moveWithCells="1">
                  <from>
                    <xdr:col>4</xdr:col>
                    <xdr:colOff>19050</xdr:colOff>
                    <xdr:row>220</xdr:row>
                    <xdr:rowOff>0</xdr:rowOff>
                  </from>
                  <to>
                    <xdr:col>4</xdr:col>
                    <xdr:colOff>228600</xdr:colOff>
                    <xdr:row>220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0" r:id="rId403" name="Check Box 458">
              <controlPr defaultSize="0" autoFill="0" autoLine="0" autoPict="0">
                <anchor moveWithCells="1">
                  <from>
                    <xdr:col>4</xdr:col>
                    <xdr:colOff>19050</xdr:colOff>
                    <xdr:row>221</xdr:row>
                    <xdr:rowOff>0</xdr:rowOff>
                  </from>
                  <to>
                    <xdr:col>4</xdr:col>
                    <xdr:colOff>228600</xdr:colOff>
                    <xdr:row>221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1" r:id="rId404" name="Check Box 459">
              <controlPr defaultSize="0" autoFill="0" autoLine="0" autoPict="0">
                <anchor moveWithCells="1">
                  <from>
                    <xdr:col>4</xdr:col>
                    <xdr:colOff>19050</xdr:colOff>
                    <xdr:row>228</xdr:row>
                    <xdr:rowOff>0</xdr:rowOff>
                  </from>
                  <to>
                    <xdr:col>4</xdr:col>
                    <xdr:colOff>228600</xdr:colOff>
                    <xdr:row>228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2" r:id="rId405" name="Check Box 460">
              <controlPr defaultSize="0" autoFill="0" autoLine="0" autoPict="0">
                <anchor moveWithCells="1">
                  <from>
                    <xdr:col>4</xdr:col>
                    <xdr:colOff>19050</xdr:colOff>
                    <xdr:row>229</xdr:row>
                    <xdr:rowOff>0</xdr:rowOff>
                  </from>
                  <to>
                    <xdr:col>4</xdr:col>
                    <xdr:colOff>228600</xdr:colOff>
                    <xdr:row>229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3" r:id="rId406" name="Check Box 461">
              <controlPr defaultSize="0" autoFill="0" autoLine="0" autoPict="0">
                <anchor moveWithCells="1">
                  <from>
                    <xdr:col>4</xdr:col>
                    <xdr:colOff>19050</xdr:colOff>
                    <xdr:row>210</xdr:row>
                    <xdr:rowOff>0</xdr:rowOff>
                  </from>
                  <to>
                    <xdr:col>4</xdr:col>
                    <xdr:colOff>228600</xdr:colOff>
                    <xdr:row>210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4" r:id="rId407" name="Check Box 462">
              <controlPr defaultSize="0" autoFill="0" autoLine="0" autoPict="0">
                <anchor moveWithCells="1">
                  <from>
                    <xdr:col>4</xdr:col>
                    <xdr:colOff>19050</xdr:colOff>
                    <xdr:row>211</xdr:row>
                    <xdr:rowOff>0</xdr:rowOff>
                  </from>
                  <to>
                    <xdr:col>4</xdr:col>
                    <xdr:colOff>228600</xdr:colOff>
                    <xdr:row>211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5" r:id="rId408" name="Check Box 463">
              <controlPr defaultSize="0" autoFill="0" autoLine="0" autoPict="0">
                <anchor moveWithCells="1">
                  <from>
                    <xdr:col>4</xdr:col>
                    <xdr:colOff>19050</xdr:colOff>
                    <xdr:row>222</xdr:row>
                    <xdr:rowOff>0</xdr:rowOff>
                  </from>
                  <to>
                    <xdr:col>4</xdr:col>
                    <xdr:colOff>228600</xdr:colOff>
                    <xdr:row>222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6" r:id="rId409" name="Check Box 464">
              <controlPr defaultSize="0" autoFill="0" autoLine="0" autoPict="0">
                <anchor moveWithCells="1">
                  <from>
                    <xdr:col>4</xdr:col>
                    <xdr:colOff>19050</xdr:colOff>
                    <xdr:row>223</xdr:row>
                    <xdr:rowOff>0</xdr:rowOff>
                  </from>
                  <to>
                    <xdr:col>4</xdr:col>
                    <xdr:colOff>228600</xdr:colOff>
                    <xdr:row>223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7" r:id="rId410" name="Check Box 465">
              <controlPr defaultSize="0" autoFill="0" autoLine="0" autoPict="0">
                <anchor moveWithCells="1">
                  <from>
                    <xdr:col>4</xdr:col>
                    <xdr:colOff>19050</xdr:colOff>
                    <xdr:row>230</xdr:row>
                    <xdr:rowOff>0</xdr:rowOff>
                  </from>
                  <to>
                    <xdr:col>4</xdr:col>
                    <xdr:colOff>228600</xdr:colOff>
                    <xdr:row>230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8" r:id="rId411" name="Check Box 466">
              <controlPr defaultSize="0" autoFill="0" autoLine="0" autoPict="0">
                <anchor moveWithCells="1">
                  <from>
                    <xdr:col>4</xdr:col>
                    <xdr:colOff>19050</xdr:colOff>
                    <xdr:row>231</xdr:row>
                    <xdr:rowOff>0</xdr:rowOff>
                  </from>
                  <to>
                    <xdr:col>4</xdr:col>
                    <xdr:colOff>228600</xdr:colOff>
                    <xdr:row>231</xdr:row>
                    <xdr:rowOff>142875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752F6-5001-44A9-822A-776B8C31D3EB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  <headerFooter>
    <oddFooter>&amp;C_x000D_&amp;1#&amp;"Aptos"&amp;6&amp;K000000 ECP-INFORMACION PUBLICA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FA3B0-D523-45C1-B5B5-996286E1839A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  <headerFooter>
    <oddFooter>&amp;C_x000D_&amp;1#&amp;"Aptos"&amp;6&amp;K000000 ECP-INFORMACION PUBLICA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A528D-E637-4FF7-A6BD-F9E0678570BF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  <headerFooter>
    <oddFooter>&amp;C_x000D_&amp;1#&amp;"Aptos"&amp;6&amp;K000000 ECP-INFORMACION PUBLICA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4BF91-B961-49F2-858B-8ACD27121477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  <headerFooter>
    <oddFooter>&amp;C_x000D_&amp;1#&amp;"Aptos"&amp;6&amp;K000000 ECP-INFORMACION PUBLICA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68016-7CA0-42FE-B899-B442DBE0C20E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  <headerFooter>
    <oddFooter>&amp;C_x000D_&amp;1#&amp;"Aptos"&amp;6&amp;K000000 ECP-INFORMACION PUBLICA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AC61D-0B88-41F1-8BEE-34FC9E8A9D6E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  <headerFooter>
    <oddFooter>&amp;C_x000D_&amp;1#&amp;"Aptos"&amp;6&amp;K000000 ECP-INFORMACION PUBLICA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E4B64-8D2F-4559-8BC0-690FFB276365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  <headerFooter>
    <oddFooter>&amp;C_x000D_&amp;1#&amp;"Aptos"&amp;6&amp;K000000 ECP-INFORMACION PUBLICA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D8ACF-D134-45DF-9783-B18ED028F132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  <headerFooter>
    <oddFooter>&amp;C_x000D_&amp;1#&amp;"Aptos"&amp;6&amp;K000000 ECP-INFORMACION PUBLICA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FC59D-F66B-46C8-8E56-D3F71D3B874B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  <headerFooter>
    <oddFooter>&amp;C_x000D_&amp;1#&amp;"Aptos"&amp;6&amp;K000000 ECP-INFORMACION PUBLICA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9F687-72F9-4CEC-9A8D-DFD3B65F36AC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  <headerFooter>
    <oddFooter>&amp;C_x000D_&amp;1#&amp;"Aptos"&amp;6&amp;K000000 ECP-INFORMACION PUBLICA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CB4AC637D8134885C248F96B10D18E" ma:contentTypeVersion="10" ma:contentTypeDescription="Crear nuevo documento." ma:contentTypeScope="" ma:versionID="6e98c2ec4e21c99442183f4828a3a310">
  <xsd:schema xmlns:xsd="http://www.w3.org/2001/XMLSchema" xmlns:xs="http://www.w3.org/2001/XMLSchema" xmlns:p="http://schemas.microsoft.com/office/2006/metadata/properties" xmlns:ns2="ff7985f3-c4bb-403e-8832-623fe958abf6" xmlns:ns3="6213b191-5063-4aaf-9640-e068e7e64786" targetNamespace="http://schemas.microsoft.com/office/2006/metadata/properties" ma:root="true" ma:fieldsID="737619fa2341213e9648a3483c97c7c3" ns2:_="" ns3:_="">
    <xsd:import namespace="ff7985f3-c4bb-403e-8832-623fe958abf6"/>
    <xsd:import namespace="6213b191-5063-4aaf-9640-e068e7e647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7985f3-c4bb-403e-8832-623fe958ab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4192beb2-35a5-4af4-a5ae-50acbeb4e6d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13b191-5063-4aaf-9640-e068e7e6478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f7985f3-c4bb-403e-8832-623fe958abf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1656FC0-27C8-4397-9DCA-06EFF9C058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7985f3-c4bb-403e-8832-623fe958abf6"/>
    <ds:schemaRef ds:uri="6213b191-5063-4aaf-9640-e068e7e647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2940F4D-E8FC-477D-B0D7-9347500F3B4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AA197DC-3A28-44C9-9B3B-0B55DFBE48D6}">
  <ds:schemaRefs>
    <ds:schemaRef ds:uri="http://schemas.microsoft.com/office/2006/metadata/properties"/>
    <ds:schemaRef ds:uri="http://schemas.microsoft.com/office/infopath/2007/PartnerControls"/>
    <ds:schemaRef ds:uri="ff7985f3-c4bb-403e-8832-623fe958abf6"/>
  </ds:schemaRefs>
</ds:datastoreItem>
</file>

<file path=docMetadata/LabelInfo.xml><?xml version="1.0" encoding="utf-8"?>
<clbl:labelList xmlns:clbl="http://schemas.microsoft.com/office/2020/mipLabelMetadata">
  <clbl:label id="{e6dda216-a899-4ab6-ba29-0dda5f7b7a74}" enabled="1" method="Privileged" siteId="{a4305987-cf78-4f93-9d64-bf18af65397b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Gráficos</vt:lpstr>
      </vt:variant>
      <vt:variant>
        <vt:i4>1</vt:i4>
      </vt:variant>
    </vt:vector>
  </HeadingPairs>
  <TitlesOfParts>
    <vt:vector size="13" baseType="lpstr">
      <vt:lpstr>Consolidado de precios</vt:lpstr>
      <vt:lpstr>Tecnologías avanzadas</vt:lpstr>
      <vt:lpstr>Absolute Imaging</vt:lpstr>
      <vt:lpstr>AGT</vt:lpstr>
      <vt:lpstr>EGS</vt:lpstr>
      <vt:lpstr>Geofizyka Torum</vt:lpstr>
      <vt:lpstr>Geotomo</vt:lpstr>
      <vt:lpstr>Inforpetrol</vt:lpstr>
      <vt:lpstr>Petroseis</vt:lpstr>
      <vt:lpstr>Schlumberger</vt:lpstr>
      <vt:lpstr>Teec Solutions</vt:lpstr>
      <vt:lpstr>Z Terra</vt:lpstr>
      <vt:lpstr>Gráfico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Javier Jaramillo Saenz (EOS Ltda)</dc:creator>
  <cp:keywords/>
  <dc:description/>
  <cp:lastModifiedBy>Trino Salinas Garnica</cp:lastModifiedBy>
  <cp:revision/>
  <dcterms:created xsi:type="dcterms:W3CDTF">2016-05-16T20:58:10Z</dcterms:created>
  <dcterms:modified xsi:type="dcterms:W3CDTF">2026-01-11T05:35:14Z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0x010100C5CB4AC637D8134885C248F96B10D18E</vt:lpwstr>
  </property>
</Properties>
</file>