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mc:AlternateContent xmlns:mc="http://schemas.openxmlformats.org/markup-compatibility/2006">
    <mc:Choice Requires="x15">
      <x15ac:absPath xmlns:x15ac="http://schemas.microsoft.com/office/spreadsheetml/2010/11/ac" url="C:\Users\E0305219\OneDrive - Ecopetrol S.A\Proyectos_2023\YACOPI_3D\ADQUISICION_Yacopí3D\"/>
    </mc:Choice>
  </mc:AlternateContent>
  <xr:revisionPtr revIDLastSave="0" documentId="8_{1CDC3D97-7DF6-4DA1-9737-E4447CA08403}" xr6:coauthVersionLast="47" xr6:coauthVersionMax="47" xr10:uidLastSave="{00000000-0000-0000-0000-000000000000}"/>
  <bookViews>
    <workbookView xWindow="-120" yWindow="-120" windowWidth="29040" windowHeight="15720" firstSheet="5" activeTab="5" xr2:uid="{00000000-000D-0000-FFFF-FFFF00000000}"/>
  </bookViews>
  <sheets>
    <sheet name="Cristalina " sheetId="4" r:id="rId1"/>
    <sheet name="Anturio" sheetId="5" r:id="rId2"/>
    <sheet name="Yondo" sheetId="3" r:id="rId3"/>
    <sheet name="Cristalina Pro Jun25" sheetId="7" r:id="rId4"/>
    <sheet name="Mangos Feb25" sheetId="6" r:id="rId5"/>
    <sheet name="19Mar2024" sheetId="1" r:id="rId6"/>
  </sheets>
  <externalReferences>
    <externalReference r:id="rId7"/>
  </externalReferences>
  <definedNames>
    <definedName name="_xlnm._FilterDatabase" localSheetId="5" hidden="1">'19Mar2024'!$A$3:$AC$15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1" i="7" l="1"/>
  <c r="G24" i="7"/>
  <c r="F24" i="7"/>
  <c r="E10" i="7"/>
  <c r="D10" i="7"/>
  <c r="E4" i="7"/>
  <c r="O15" i="1" l="1"/>
  <c r="P14" i="1"/>
  <c r="S14" i="1" s="1"/>
  <c r="L15" i="1"/>
  <c r="U14" i="1"/>
  <c r="C15" i="1"/>
  <c r="U11" i="1"/>
  <c r="U12" i="1"/>
  <c r="P12" i="1"/>
  <c r="S12" i="1" s="1"/>
  <c r="V12" i="1" l="1"/>
  <c r="V14" i="1"/>
  <c r="U13" i="1" l="1"/>
  <c r="E15" i="7"/>
  <c r="D15" i="7"/>
  <c r="F18" i="7"/>
  <c r="F19" i="7"/>
  <c r="F20" i="7"/>
  <c r="F21" i="7"/>
  <c r="F22" i="7"/>
  <c r="F23" i="7"/>
  <c r="F25" i="7"/>
  <c r="F17" i="7"/>
  <c r="F16" i="7"/>
  <c r="P13" i="1" l="1"/>
  <c r="V13" i="1" s="1"/>
  <c r="F15" i="7"/>
  <c r="S13" i="1" l="1"/>
  <c r="C40" i="6"/>
  <c r="C32" i="6"/>
  <c r="F17" i="6"/>
  <c r="F18" i="6"/>
  <c r="F19" i="6"/>
  <c r="F20" i="6"/>
  <c r="F21" i="6"/>
  <c r="F22" i="6"/>
  <c r="F23" i="6"/>
  <c r="F24" i="6"/>
  <c r="F16" i="6"/>
  <c r="F5" i="7"/>
  <c r="F10" i="6"/>
  <c r="F11" i="6"/>
  <c r="F12" i="6"/>
  <c r="F13" i="6"/>
  <c r="F9" i="6"/>
  <c r="F5" i="6"/>
  <c r="F6" i="6"/>
  <c r="F7" i="6"/>
  <c r="F4" i="6"/>
  <c r="F3" i="6" l="1"/>
  <c r="F11" i="7" l="1"/>
  <c r="F12" i="7"/>
  <c r="F13" i="7"/>
  <c r="F7" i="7"/>
  <c r="F6" i="7"/>
  <c r="F4" i="7"/>
  <c r="F3" i="7" l="1"/>
  <c r="O44" i="7"/>
  <c r="L31" i="7"/>
  <c r="J31" i="7"/>
  <c r="H31" i="7"/>
  <c r="L20" i="7"/>
  <c r="L18" i="7"/>
  <c r="L17" i="7"/>
  <c r="P16" i="7"/>
  <c r="J15" i="7"/>
  <c r="H15" i="7"/>
  <c r="C15" i="7"/>
  <c r="R13" i="7"/>
  <c r="P13" i="7"/>
  <c r="L10" i="7"/>
  <c r="L8" i="7" s="1"/>
  <c r="H10" i="7"/>
  <c r="H8" i="7" s="1"/>
  <c r="J8" i="7"/>
  <c r="E8" i="7"/>
  <c r="C8" i="7"/>
  <c r="L3" i="7"/>
  <c r="J3" i="7"/>
  <c r="H3" i="7"/>
  <c r="E3" i="7"/>
  <c r="D3" i="7"/>
  <c r="C3" i="7"/>
  <c r="P6" i="1"/>
  <c r="L15" i="7" l="1"/>
  <c r="C26" i="7"/>
  <c r="C28" i="7" s="1"/>
  <c r="E26" i="7"/>
  <c r="E28" i="7" s="1"/>
  <c r="J26" i="7"/>
  <c r="K23" i="7" s="1"/>
  <c r="H26" i="7"/>
  <c r="I3" i="7" s="1"/>
  <c r="L26" i="7"/>
  <c r="M8" i="7" s="1"/>
  <c r="O45" i="7"/>
  <c r="O46" i="7" s="1"/>
  <c r="M18" i="7" l="1"/>
  <c r="K14" i="7"/>
  <c r="K22" i="7"/>
  <c r="K12" i="7"/>
  <c r="K13" i="7"/>
  <c r="K19" i="7"/>
  <c r="K7" i="7"/>
  <c r="K18" i="7"/>
  <c r="K25" i="7"/>
  <c r="K8" i="7"/>
  <c r="J32" i="7"/>
  <c r="K32" i="7" s="1"/>
  <c r="K10" i="7"/>
  <c r="K3" i="7"/>
  <c r="K16" i="7"/>
  <c r="K4" i="7"/>
  <c r="K26" i="7"/>
  <c r="K9" i="7"/>
  <c r="K11" i="7"/>
  <c r="K15" i="7"/>
  <c r="K21" i="7"/>
  <c r="K6" i="7"/>
  <c r="J28" i="7"/>
  <c r="K17" i="7"/>
  <c r="K5" i="7"/>
  <c r="K27" i="7"/>
  <c r="K20" i="7"/>
  <c r="L28" i="7"/>
  <c r="M26" i="7"/>
  <c r="M19" i="7"/>
  <c r="M12" i="7"/>
  <c r="M10" i="7"/>
  <c r="L32" i="7"/>
  <c r="M32" i="7" s="1"/>
  <c r="M11" i="7"/>
  <c r="M27" i="7"/>
  <c r="M6" i="7"/>
  <c r="M4" i="7"/>
  <c r="M13" i="7"/>
  <c r="M25" i="7"/>
  <c r="M22" i="7"/>
  <c r="M14" i="7"/>
  <c r="M7" i="7"/>
  <c r="M5" i="7"/>
  <c r="M23" i="7"/>
  <c r="M21" i="7"/>
  <c r="M16" i="7"/>
  <c r="M9" i="7"/>
  <c r="H32" i="7"/>
  <c r="I32" i="7" s="1"/>
  <c r="I14" i="7"/>
  <c r="I7" i="7"/>
  <c r="I5" i="7"/>
  <c r="I27" i="7"/>
  <c r="I23" i="7"/>
  <c r="I21" i="7"/>
  <c r="I16" i="7"/>
  <c r="I9" i="7"/>
  <c r="I4" i="7"/>
  <c r="I19" i="7"/>
  <c r="I12" i="7"/>
  <c r="H28" i="7"/>
  <c r="I26" i="7"/>
  <c r="I17" i="7"/>
  <c r="I6" i="7"/>
  <c r="I25" i="7"/>
  <c r="I22" i="7"/>
  <c r="I20" i="7"/>
  <c r="I13" i="7"/>
  <c r="I11" i="7"/>
  <c r="I18" i="7"/>
  <c r="I15" i="7"/>
  <c r="I10" i="7"/>
  <c r="I8" i="7"/>
  <c r="M3" i="7"/>
  <c r="M15" i="7"/>
  <c r="M20" i="7"/>
  <c r="M17" i="7"/>
  <c r="K28" i="7" l="1"/>
  <c r="I28" i="7"/>
  <c r="M28" i="7"/>
  <c r="F48" i="6" l="1"/>
  <c r="L48" i="6"/>
  <c r="J48" i="6"/>
  <c r="H48" i="6"/>
  <c r="L20" i="6"/>
  <c r="L18" i="6"/>
  <c r="L17" i="6"/>
  <c r="P16" i="6"/>
  <c r="J15" i="6"/>
  <c r="H15" i="6"/>
  <c r="F15" i="6"/>
  <c r="E15" i="6"/>
  <c r="C15" i="6"/>
  <c r="R13" i="6"/>
  <c r="P13" i="6"/>
  <c r="L10" i="6"/>
  <c r="H10" i="6"/>
  <c r="H8" i="6" s="1"/>
  <c r="J8" i="6"/>
  <c r="F8" i="6"/>
  <c r="E8" i="6"/>
  <c r="D8" i="6"/>
  <c r="C8" i="6"/>
  <c r="L3" i="6"/>
  <c r="J3" i="6"/>
  <c r="H3" i="6"/>
  <c r="E3" i="6"/>
  <c r="D3" i="6"/>
  <c r="C3" i="6"/>
  <c r="E25" i="6" l="1"/>
  <c r="E26" i="6" s="1"/>
  <c r="L15" i="6"/>
  <c r="H25" i="6"/>
  <c r="H49" i="6" s="1"/>
  <c r="I49" i="6" s="1"/>
  <c r="J25" i="6"/>
  <c r="K17" i="6" s="1"/>
  <c r="C25" i="6"/>
  <c r="C27" i="6" s="1"/>
  <c r="F25" i="6"/>
  <c r="C41" i="6" s="1"/>
  <c r="L8" i="6"/>
  <c r="I26" i="6" l="1"/>
  <c r="I3" i="6"/>
  <c r="K4" i="6"/>
  <c r="G3" i="6"/>
  <c r="K15" i="6"/>
  <c r="E27" i="6"/>
  <c r="I24" i="6"/>
  <c r="I4" i="6"/>
  <c r="I10" i="6"/>
  <c r="I16" i="6"/>
  <c r="K19" i="6"/>
  <c r="I7" i="6"/>
  <c r="J49" i="6"/>
  <c r="K49" i="6" s="1"/>
  <c r="I13" i="6"/>
  <c r="K13" i="6"/>
  <c r="K20" i="6"/>
  <c r="I21" i="6"/>
  <c r="K23" i="6"/>
  <c r="I23" i="6"/>
  <c r="K14" i="6"/>
  <c r="J27" i="6"/>
  <c r="K8" i="6"/>
  <c r="K11" i="6"/>
  <c r="K7" i="6"/>
  <c r="K9" i="6"/>
  <c r="K22" i="6"/>
  <c r="K6" i="6"/>
  <c r="K21" i="6"/>
  <c r="K24" i="6"/>
  <c r="K26" i="6"/>
  <c r="K3" i="6"/>
  <c r="K5" i="6"/>
  <c r="K12" i="6"/>
  <c r="K10" i="6"/>
  <c r="K18" i="6"/>
  <c r="K16" i="6"/>
  <c r="K25" i="6"/>
  <c r="I20" i="6"/>
  <c r="H27" i="6"/>
  <c r="I12" i="6"/>
  <c r="I8" i="6"/>
  <c r="I22" i="6"/>
  <c r="I9" i="6"/>
  <c r="I19" i="6"/>
  <c r="I6" i="6"/>
  <c r="I5" i="6"/>
  <c r="I15" i="6"/>
  <c r="I18" i="6"/>
  <c r="I17" i="6"/>
  <c r="I14" i="6"/>
  <c r="I11" i="6"/>
  <c r="I25" i="6"/>
  <c r="G5" i="6"/>
  <c r="G24" i="6"/>
  <c r="G9" i="6"/>
  <c r="G8" i="6"/>
  <c r="G25" i="6"/>
  <c r="G16" i="6"/>
  <c r="G15" i="6"/>
  <c r="G4" i="6"/>
  <c r="G18" i="6"/>
  <c r="G6" i="6"/>
  <c r="G23" i="6"/>
  <c r="G11" i="6"/>
  <c r="G17" i="6"/>
  <c r="F49" i="6"/>
  <c r="G49" i="6" s="1"/>
  <c r="G22" i="6"/>
  <c r="G14" i="6"/>
  <c r="G21" i="6"/>
  <c r="G13" i="6"/>
  <c r="F26" i="6"/>
  <c r="G20" i="6"/>
  <c r="G7" i="6"/>
  <c r="G10" i="6"/>
  <c r="G12" i="6"/>
  <c r="G19" i="6"/>
  <c r="L25" i="6"/>
  <c r="I27" i="6" l="1"/>
  <c r="K27" i="6"/>
  <c r="F27" i="6"/>
  <c r="G27" i="6" s="1"/>
  <c r="M26" i="6"/>
  <c r="M6" i="6"/>
  <c r="M4" i="6"/>
  <c r="M24" i="6"/>
  <c r="M22" i="6"/>
  <c r="M20" i="6"/>
  <c r="M9" i="6"/>
  <c r="M25" i="6"/>
  <c r="M19" i="6"/>
  <c r="M17" i="6"/>
  <c r="L49" i="6"/>
  <c r="M49" i="6" s="1"/>
  <c r="M13" i="6"/>
  <c r="M11" i="6"/>
  <c r="M14" i="6"/>
  <c r="M7" i="6"/>
  <c r="M5" i="6"/>
  <c r="M23" i="6"/>
  <c r="M21" i="6"/>
  <c r="M16" i="6"/>
  <c r="L27" i="6"/>
  <c r="M12" i="6"/>
  <c r="M15" i="6"/>
  <c r="M3" i="6"/>
  <c r="M10" i="6"/>
  <c r="M18" i="6"/>
  <c r="M8" i="6"/>
  <c r="M27" i="6" l="1"/>
  <c r="O47" i="5" l="1"/>
  <c r="L30" i="5"/>
  <c r="J30" i="5"/>
  <c r="H30" i="5"/>
  <c r="F30" i="5"/>
  <c r="L20" i="5"/>
  <c r="L15" i="5" s="1"/>
  <c r="L18" i="5"/>
  <c r="L17" i="5"/>
  <c r="P16" i="5"/>
  <c r="J15" i="5"/>
  <c r="H15" i="5"/>
  <c r="F15" i="5"/>
  <c r="E15" i="5"/>
  <c r="D15" i="5"/>
  <c r="C15" i="5"/>
  <c r="R13" i="5"/>
  <c r="P13" i="5"/>
  <c r="L10" i="5"/>
  <c r="H10" i="5"/>
  <c r="H8" i="5" s="1"/>
  <c r="L8" i="5"/>
  <c r="J8" i="5"/>
  <c r="F8" i="5"/>
  <c r="E8" i="5"/>
  <c r="D8" i="5"/>
  <c r="C8" i="5"/>
  <c r="F6" i="5"/>
  <c r="L3" i="5"/>
  <c r="J3" i="5"/>
  <c r="H3" i="5"/>
  <c r="F3" i="5"/>
  <c r="F25" i="5" s="1"/>
  <c r="F35" i="5" s="1"/>
  <c r="E3" i="5"/>
  <c r="D3" i="5"/>
  <c r="D25" i="5" s="1"/>
  <c r="C3" i="5"/>
  <c r="C25" i="5" s="1"/>
  <c r="C27" i="5" s="1"/>
  <c r="O43" i="4"/>
  <c r="L30" i="4"/>
  <c r="J30" i="4"/>
  <c r="H30" i="4"/>
  <c r="F30" i="4"/>
  <c r="L20" i="4"/>
  <c r="L18" i="4"/>
  <c r="L17" i="4"/>
  <c r="P16" i="4"/>
  <c r="J15" i="4"/>
  <c r="H15" i="4"/>
  <c r="F15" i="4"/>
  <c r="E15" i="4"/>
  <c r="D15" i="4"/>
  <c r="C15" i="4"/>
  <c r="R13" i="4"/>
  <c r="P13" i="4"/>
  <c r="L10" i="4"/>
  <c r="L8" i="4" s="1"/>
  <c r="H10" i="4"/>
  <c r="H8" i="4" s="1"/>
  <c r="F10" i="4"/>
  <c r="F8" i="4" s="1"/>
  <c r="J8" i="4"/>
  <c r="E8" i="4"/>
  <c r="D8" i="4"/>
  <c r="C8" i="4"/>
  <c r="L3" i="4"/>
  <c r="J3" i="4"/>
  <c r="H3" i="4"/>
  <c r="F3" i="4"/>
  <c r="E3" i="4"/>
  <c r="D3" i="4"/>
  <c r="C3" i="4"/>
  <c r="H30" i="3"/>
  <c r="S43" i="3"/>
  <c r="P30" i="3"/>
  <c r="N30" i="3"/>
  <c r="L30" i="3"/>
  <c r="F30" i="3"/>
  <c r="H24" i="3"/>
  <c r="H51" i="3" s="1"/>
  <c r="S23" i="3"/>
  <c r="F23" i="3"/>
  <c r="J50" i="3" s="1"/>
  <c r="Y22" i="3"/>
  <c r="J22" i="3"/>
  <c r="F22" i="3"/>
  <c r="H22" i="3" s="1"/>
  <c r="S21" i="3"/>
  <c r="F21" i="3"/>
  <c r="P20" i="3"/>
  <c r="F20" i="3"/>
  <c r="H19" i="3"/>
  <c r="P18" i="3"/>
  <c r="F18" i="3"/>
  <c r="H18" i="3" s="1"/>
  <c r="H47" i="3" s="1"/>
  <c r="P17" i="3"/>
  <c r="F17" i="3"/>
  <c r="H17" i="3" s="1"/>
  <c r="F16" i="3"/>
  <c r="S16" i="3" s="1"/>
  <c r="T16" i="3" s="1"/>
  <c r="N15" i="3"/>
  <c r="L15" i="3"/>
  <c r="E15" i="3"/>
  <c r="D15" i="3"/>
  <c r="C15" i="3"/>
  <c r="V13" i="3"/>
  <c r="T13" i="3"/>
  <c r="J13" i="3"/>
  <c r="J42" i="3" s="1"/>
  <c r="H13" i="3"/>
  <c r="H42" i="3" s="1"/>
  <c r="S10" i="3"/>
  <c r="T10" i="3" s="1"/>
  <c r="P10" i="3"/>
  <c r="P8" i="3" s="1"/>
  <c r="L10" i="3"/>
  <c r="L8" i="3" s="1"/>
  <c r="H10" i="3"/>
  <c r="H43" i="3" s="1"/>
  <c r="N8" i="3"/>
  <c r="F8" i="3"/>
  <c r="E8" i="3"/>
  <c r="D8" i="3"/>
  <c r="C8" i="3"/>
  <c r="P3" i="3"/>
  <c r="N3" i="3"/>
  <c r="L3" i="3"/>
  <c r="J3" i="3"/>
  <c r="H3" i="3"/>
  <c r="F3" i="3"/>
  <c r="E3" i="3"/>
  <c r="D3" i="3"/>
  <c r="C3" i="3"/>
  <c r="P15" i="3" l="1"/>
  <c r="N25" i="3"/>
  <c r="D25" i="3"/>
  <c r="D26" i="3" s="1"/>
  <c r="D27" i="3" s="1"/>
  <c r="S44" i="3"/>
  <c r="S45" i="3" s="1"/>
  <c r="J24" i="3"/>
  <c r="J51" i="3" s="1"/>
  <c r="E25" i="4"/>
  <c r="E26" i="4" s="1"/>
  <c r="E27" i="4" s="1"/>
  <c r="C25" i="4"/>
  <c r="C27" i="4" s="1"/>
  <c r="J25" i="4"/>
  <c r="K8" i="4" s="1"/>
  <c r="D25" i="4"/>
  <c r="F25" i="4"/>
  <c r="G25" i="4" s="1"/>
  <c r="E25" i="5"/>
  <c r="E26" i="5" s="1"/>
  <c r="E27" i="5" s="1"/>
  <c r="M17" i="5"/>
  <c r="M20" i="5"/>
  <c r="J25" i="5"/>
  <c r="K23" i="5" s="1"/>
  <c r="L25" i="5"/>
  <c r="M8" i="5" s="1"/>
  <c r="L25" i="3"/>
  <c r="M8" i="3" s="1"/>
  <c r="C25" i="3"/>
  <c r="C27" i="3" s="1"/>
  <c r="E25" i="3"/>
  <c r="E26" i="3" s="1"/>
  <c r="H8" i="3"/>
  <c r="D26" i="4"/>
  <c r="D27" i="4" s="1"/>
  <c r="K4" i="5"/>
  <c r="G15" i="5"/>
  <c r="M23" i="5"/>
  <c r="M16" i="5"/>
  <c r="L27" i="5"/>
  <c r="M25" i="5"/>
  <c r="M19" i="5"/>
  <c r="M12" i="5"/>
  <c r="M10" i="5"/>
  <c r="M6" i="5"/>
  <c r="M11" i="5"/>
  <c r="M26" i="5"/>
  <c r="M4" i="5"/>
  <c r="L31" i="5"/>
  <c r="M31" i="5" s="1"/>
  <c r="M18" i="5"/>
  <c r="M13" i="5"/>
  <c r="M24" i="5"/>
  <c r="M22" i="5"/>
  <c r="M7" i="5"/>
  <c r="M14" i="5"/>
  <c r="M9" i="5"/>
  <c r="M5" i="5"/>
  <c r="M3" i="5"/>
  <c r="K15" i="5"/>
  <c r="H25" i="4"/>
  <c r="I3" i="4" s="1"/>
  <c r="M15" i="5"/>
  <c r="G20" i="5"/>
  <c r="G13" i="5"/>
  <c r="G11" i="5"/>
  <c r="G18" i="5"/>
  <c r="G8" i="5"/>
  <c r="G7" i="5"/>
  <c r="G14" i="5"/>
  <c r="G9" i="5"/>
  <c r="G5" i="5"/>
  <c r="F31" i="5"/>
  <c r="G31" i="5" s="1"/>
  <c r="G23" i="5"/>
  <c r="G21" i="5"/>
  <c r="G16" i="5"/>
  <c r="G6" i="5"/>
  <c r="G3" i="5"/>
  <c r="G19" i="5"/>
  <c r="G12" i="5"/>
  <c r="F26" i="5"/>
  <c r="F27" i="5" s="1"/>
  <c r="G27" i="5" s="1"/>
  <c r="G17" i="5"/>
  <c r="G10" i="5"/>
  <c r="G4" i="5"/>
  <c r="G25" i="5"/>
  <c r="G24" i="5"/>
  <c r="G22" i="5"/>
  <c r="D26" i="5"/>
  <c r="D27" i="5" s="1"/>
  <c r="L15" i="4"/>
  <c r="L25" i="4" s="1"/>
  <c r="M3" i="4" s="1"/>
  <c r="K22" i="4"/>
  <c r="K24" i="4"/>
  <c r="H25" i="5"/>
  <c r="I3" i="5" s="1"/>
  <c r="K10" i="4"/>
  <c r="K4" i="4"/>
  <c r="K12" i="4"/>
  <c r="K19" i="4"/>
  <c r="O44" i="4"/>
  <c r="O45" i="4" s="1"/>
  <c r="K3" i="4"/>
  <c r="K9" i="4"/>
  <c r="K16" i="4"/>
  <c r="K21" i="4"/>
  <c r="K5" i="4"/>
  <c r="K7" i="4"/>
  <c r="K14" i="4"/>
  <c r="O48" i="5"/>
  <c r="O49" i="5" s="1"/>
  <c r="K26" i="4"/>
  <c r="K18" i="4"/>
  <c r="J17" i="3"/>
  <c r="J45" i="3" s="1"/>
  <c r="O8" i="3"/>
  <c r="H45" i="3"/>
  <c r="H49" i="3"/>
  <c r="O21" i="3"/>
  <c r="O9" i="3"/>
  <c r="N31" i="3"/>
  <c r="O31" i="3" s="1"/>
  <c r="O20" i="3"/>
  <c r="O5" i="3"/>
  <c r="O26" i="3"/>
  <c r="O19" i="3"/>
  <c r="O15" i="3"/>
  <c r="O22" i="3"/>
  <c r="O10" i="3"/>
  <c r="O13" i="3"/>
  <c r="O17" i="3"/>
  <c r="O18" i="3"/>
  <c r="O6" i="3"/>
  <c r="O24" i="3"/>
  <c r="N27" i="3"/>
  <c r="O23" i="3"/>
  <c r="O7" i="3"/>
  <c r="O16" i="3"/>
  <c r="O14" i="3"/>
  <c r="O25" i="3"/>
  <c r="O11" i="3"/>
  <c r="O4" i="3"/>
  <c r="O12" i="3"/>
  <c r="M13" i="3"/>
  <c r="M21" i="3"/>
  <c r="M22" i="3"/>
  <c r="O3" i="3"/>
  <c r="J18" i="3"/>
  <c r="H20" i="3"/>
  <c r="H16" i="3"/>
  <c r="J19" i="3"/>
  <c r="P25" i="3"/>
  <c r="Q18" i="3" s="1"/>
  <c r="H21" i="3"/>
  <c r="J10" i="3"/>
  <c r="F15" i="3"/>
  <c r="J16" i="3"/>
  <c r="J49" i="3"/>
  <c r="H50" i="3"/>
  <c r="K8" i="5" l="1"/>
  <c r="K23" i="4"/>
  <c r="K17" i="4"/>
  <c r="E27" i="3"/>
  <c r="G15" i="4"/>
  <c r="G11" i="4"/>
  <c r="G12" i="4"/>
  <c r="G4" i="4"/>
  <c r="G17" i="4"/>
  <c r="K13" i="4"/>
  <c r="J27" i="4"/>
  <c r="K25" i="4"/>
  <c r="K27" i="4" s="1"/>
  <c r="K6" i="4"/>
  <c r="H15" i="3"/>
  <c r="G7" i="4"/>
  <c r="G3" i="4"/>
  <c r="G14" i="4"/>
  <c r="G6" i="4"/>
  <c r="G8" i="4"/>
  <c r="G16" i="4"/>
  <c r="G10" i="4"/>
  <c r="G21" i="4"/>
  <c r="G22" i="4"/>
  <c r="G19" i="4"/>
  <c r="G13" i="4"/>
  <c r="G9" i="4"/>
  <c r="G5" i="4"/>
  <c r="G20" i="4"/>
  <c r="G23" i="4"/>
  <c r="F26" i="4"/>
  <c r="F27" i="4" s="1"/>
  <c r="G27" i="4" s="1"/>
  <c r="G24" i="4"/>
  <c r="F31" i="4"/>
  <c r="G31" i="4" s="1"/>
  <c r="G18" i="4"/>
  <c r="J31" i="4"/>
  <c r="K31" i="4" s="1"/>
  <c r="K15" i="4"/>
  <c r="K11" i="4"/>
  <c r="K20" i="4"/>
  <c r="M10" i="4"/>
  <c r="M21" i="5"/>
  <c r="K9" i="5"/>
  <c r="K26" i="5"/>
  <c r="K14" i="5"/>
  <c r="K18" i="5"/>
  <c r="K22" i="5"/>
  <c r="K24" i="5"/>
  <c r="J31" i="5"/>
  <c r="K31" i="5" s="1"/>
  <c r="K6" i="5"/>
  <c r="K3" i="5"/>
  <c r="K12" i="5"/>
  <c r="K13" i="5"/>
  <c r="K25" i="5"/>
  <c r="K21" i="5"/>
  <c r="K5" i="5"/>
  <c r="K17" i="5"/>
  <c r="K7" i="5"/>
  <c r="K19" i="5"/>
  <c r="K11" i="5"/>
  <c r="K10" i="5"/>
  <c r="K16" i="5"/>
  <c r="K20" i="5"/>
  <c r="J27" i="5"/>
  <c r="M18" i="3"/>
  <c r="M14" i="3"/>
  <c r="M19" i="3"/>
  <c r="M23" i="3"/>
  <c r="M16" i="3"/>
  <c r="M6" i="3"/>
  <c r="M4" i="3"/>
  <c r="L31" i="3"/>
  <c r="M31" i="3" s="1"/>
  <c r="M5" i="3"/>
  <c r="M3" i="3"/>
  <c r="M25" i="3"/>
  <c r="M26" i="3"/>
  <c r="M15" i="3"/>
  <c r="L27" i="3"/>
  <c r="M11" i="3"/>
  <c r="M20" i="3"/>
  <c r="M7" i="3"/>
  <c r="M17" i="3"/>
  <c r="M9" i="3"/>
  <c r="M10" i="3"/>
  <c r="M24" i="3"/>
  <c r="M12" i="3"/>
  <c r="Q15" i="3"/>
  <c r="Q17" i="3"/>
  <c r="Q10" i="3"/>
  <c r="Q8" i="3"/>
  <c r="Q20" i="3"/>
  <c r="M18" i="4"/>
  <c r="I8" i="4"/>
  <c r="I8" i="5"/>
  <c r="M17" i="4"/>
  <c r="I15" i="5"/>
  <c r="I10" i="5"/>
  <c r="M15" i="4"/>
  <c r="I18" i="5"/>
  <c r="I7" i="5"/>
  <c r="I26" i="5"/>
  <c r="H31" i="5"/>
  <c r="I31" i="5" s="1"/>
  <c r="I14" i="5"/>
  <c r="I9" i="5"/>
  <c r="I5" i="5"/>
  <c r="I23" i="5"/>
  <c r="I21" i="5"/>
  <c r="I16" i="5"/>
  <c r="I25" i="5"/>
  <c r="I27" i="5" s="1"/>
  <c r="I17" i="5"/>
  <c r="I4" i="5"/>
  <c r="I19" i="5"/>
  <c r="I12" i="5"/>
  <c r="I6" i="5"/>
  <c r="H27" i="5"/>
  <c r="I24" i="5"/>
  <c r="I22" i="5"/>
  <c r="I20" i="5"/>
  <c r="I13" i="5"/>
  <c r="I11" i="5"/>
  <c r="M27" i="5"/>
  <c r="M14" i="4"/>
  <c r="M7" i="4"/>
  <c r="M5" i="4"/>
  <c r="M23" i="4"/>
  <c r="M21" i="4"/>
  <c r="M16" i="4"/>
  <c r="M9" i="4"/>
  <c r="L27" i="4"/>
  <c r="M25" i="4"/>
  <c r="M19" i="4"/>
  <c r="M12" i="4"/>
  <c r="M24" i="4"/>
  <c r="M22" i="4"/>
  <c r="M20" i="4"/>
  <c r="M8" i="4"/>
  <c r="M26" i="4"/>
  <c r="M6" i="4"/>
  <c r="M4" i="4"/>
  <c r="L31" i="4"/>
  <c r="M31" i="4" s="1"/>
  <c r="M13" i="4"/>
  <c r="M11" i="4"/>
  <c r="I20" i="4"/>
  <c r="I13" i="4"/>
  <c r="I11" i="4"/>
  <c r="I18" i="4"/>
  <c r="I15" i="4"/>
  <c r="H31" i="4"/>
  <c r="I31" i="4" s="1"/>
  <c r="I14" i="4"/>
  <c r="I7" i="4"/>
  <c r="I5" i="4"/>
  <c r="I23" i="4"/>
  <c r="I21" i="4"/>
  <c r="I16" i="4"/>
  <c r="I9" i="4"/>
  <c r="I10" i="4"/>
  <c r="I22" i="4"/>
  <c r="I19" i="4"/>
  <c r="I12" i="4"/>
  <c r="I24" i="4"/>
  <c r="H27" i="4"/>
  <c r="I26" i="4"/>
  <c r="I25" i="4"/>
  <c r="I17" i="4"/>
  <c r="I6" i="4"/>
  <c r="I4" i="4"/>
  <c r="H25" i="3"/>
  <c r="J43" i="3"/>
  <c r="J8" i="3"/>
  <c r="J21" i="3"/>
  <c r="H48" i="3"/>
  <c r="F25" i="3"/>
  <c r="G15" i="3" s="1"/>
  <c r="J44" i="3"/>
  <c r="H44" i="3"/>
  <c r="O27" i="3"/>
  <c r="H46" i="3"/>
  <c r="J20" i="3"/>
  <c r="J47" i="3"/>
  <c r="Q13" i="3"/>
  <c r="Q26" i="3"/>
  <c r="Q19" i="3"/>
  <c r="Q6" i="3"/>
  <c r="Q11" i="3"/>
  <c r="Q14" i="3"/>
  <c r="Q21" i="3"/>
  <c r="Q4" i="3"/>
  <c r="P31" i="3"/>
  <c r="Q31" i="3" s="1"/>
  <c r="P27" i="3"/>
  <c r="Q24" i="3"/>
  <c r="Q25" i="3"/>
  <c r="Q23" i="3"/>
  <c r="Q22" i="3"/>
  <c r="Q7" i="3"/>
  <c r="Q16" i="3"/>
  <c r="Q12" i="3"/>
  <c r="Q9" i="3"/>
  <c r="Q5" i="3"/>
  <c r="Q3" i="3"/>
  <c r="M27" i="3" l="1"/>
  <c r="M27" i="4"/>
  <c r="I27" i="4"/>
  <c r="K27" i="5"/>
  <c r="Q27" i="3"/>
  <c r="H31" i="3"/>
  <c r="J48" i="3"/>
  <c r="F26" i="3"/>
  <c r="G7" i="3"/>
  <c r="G24" i="3"/>
  <c r="G11" i="3"/>
  <c r="G5" i="3"/>
  <c r="G13" i="3"/>
  <c r="G19" i="3"/>
  <c r="G4" i="3"/>
  <c r="G14" i="3"/>
  <c r="G12" i="3"/>
  <c r="G9" i="3"/>
  <c r="F31" i="3"/>
  <c r="G31" i="3" s="1"/>
  <c r="G25" i="3"/>
  <c r="G10" i="3"/>
  <c r="G6" i="3"/>
  <c r="G20" i="3"/>
  <c r="G17" i="3"/>
  <c r="G21" i="3"/>
  <c r="G18" i="3"/>
  <c r="G8" i="3"/>
  <c r="G16" i="3"/>
  <c r="G22" i="3"/>
  <c r="G3" i="3"/>
  <c r="G23" i="3"/>
  <c r="H52" i="3"/>
  <c r="J46" i="3"/>
  <c r="J15" i="3"/>
  <c r="J25" i="3" s="1"/>
  <c r="J52" i="3" l="1"/>
  <c r="K8" i="3"/>
  <c r="K20" i="3"/>
  <c r="K4" i="3"/>
  <c r="K25" i="3"/>
  <c r="K14" i="3"/>
  <c r="K13" i="3"/>
  <c r="K12" i="3"/>
  <c r="K9" i="3"/>
  <c r="K3" i="3"/>
  <c r="K7" i="3"/>
  <c r="K6" i="3"/>
  <c r="K23" i="3"/>
  <c r="K11" i="3"/>
  <c r="K5" i="3"/>
  <c r="J26" i="3"/>
  <c r="K22" i="3"/>
  <c r="K17" i="3"/>
  <c r="K24" i="3"/>
  <c r="K10" i="3"/>
  <c r="K16" i="3"/>
  <c r="K18" i="3"/>
  <c r="K19" i="3"/>
  <c r="K21" i="3"/>
  <c r="I11" i="3"/>
  <c r="I4" i="3"/>
  <c r="I6" i="3"/>
  <c r="I14" i="3"/>
  <c r="I12" i="3"/>
  <c r="I9" i="3"/>
  <c r="I25" i="3"/>
  <c r="I5" i="3"/>
  <c r="I24" i="3"/>
  <c r="H26" i="3"/>
  <c r="H27" i="3" s="1"/>
  <c r="I27" i="3" s="1"/>
  <c r="I23" i="3"/>
  <c r="I7" i="3"/>
  <c r="I8" i="3"/>
  <c r="I3" i="3"/>
  <c r="I18" i="3"/>
  <c r="I10" i="3"/>
  <c r="I22" i="3"/>
  <c r="I13" i="3"/>
  <c r="I19" i="3"/>
  <c r="I17" i="3"/>
  <c r="I20" i="3"/>
  <c r="I21" i="3"/>
  <c r="I16" i="3"/>
  <c r="K15" i="3"/>
  <c r="F27" i="3"/>
  <c r="G27" i="3" s="1"/>
  <c r="I15" i="3"/>
  <c r="I26" i="3" l="1"/>
  <c r="J27" i="3"/>
  <c r="K27" i="3" s="1"/>
  <c r="G26" i="3"/>
  <c r="K26" i="3" l="1"/>
  <c r="AB9" i="1" l="1"/>
  <c r="AB10" i="1"/>
  <c r="AB11" i="1"/>
  <c r="N9" i="1"/>
  <c r="N15" i="1" s="1"/>
  <c r="O9" i="1"/>
  <c r="M9" i="1"/>
  <c r="M15" i="1" s="1"/>
  <c r="K9" i="1"/>
  <c r="K15" i="1" s="1"/>
  <c r="J9" i="1"/>
  <c r="J15" i="1" s="1"/>
  <c r="I9" i="1"/>
  <c r="I15" i="1" s="1"/>
  <c r="H9" i="1"/>
  <c r="H15" i="1" s="1"/>
  <c r="W15" i="1"/>
  <c r="U5" i="1"/>
  <c r="U6" i="1"/>
  <c r="U7" i="1"/>
  <c r="U8" i="1"/>
  <c r="U9" i="1"/>
  <c r="U10" i="1"/>
  <c r="P5" i="1"/>
  <c r="P4" i="1"/>
  <c r="R4" i="1" s="1"/>
  <c r="P7" i="1"/>
  <c r="P8" i="1"/>
  <c r="P10" i="1"/>
  <c r="P11" i="1"/>
  <c r="U4" i="1"/>
  <c r="Z6" i="1"/>
  <c r="AA6" i="1"/>
  <c r="Y6" i="1"/>
  <c r="Z8" i="1"/>
  <c r="Z7" i="1"/>
  <c r="AA8" i="1"/>
  <c r="Y8" i="1"/>
  <c r="AA7" i="1"/>
  <c r="Y7" i="1"/>
  <c r="AB6" i="1" l="1"/>
  <c r="S4" i="1"/>
  <c r="AB8" i="1"/>
  <c r="AB7" i="1"/>
  <c r="V4" i="1"/>
  <c r="P9" i="1"/>
  <c r="S9" i="1" s="1"/>
  <c r="V8" i="1"/>
  <c r="R8" i="1"/>
  <c r="V7" i="1"/>
  <c r="R7" i="1"/>
  <c r="V6" i="1"/>
  <c r="R6" i="1"/>
  <c r="V5" i="1"/>
  <c r="R5" i="1"/>
  <c r="AA15" i="1"/>
  <c r="Z15" i="1"/>
  <c r="S11" i="1"/>
  <c r="V11" i="1"/>
  <c r="S10" i="1"/>
  <c r="V10" i="1"/>
  <c r="Y4" i="1"/>
  <c r="X4" i="1"/>
  <c r="S7" i="1"/>
  <c r="Y5" i="1"/>
  <c r="X5" i="1"/>
  <c r="AB5" i="1" s="1"/>
  <c r="V9" i="1" l="1"/>
  <c r="AB4" i="1"/>
  <c r="AB15" i="1" s="1"/>
  <c r="X15" i="1"/>
  <c r="Y15" i="1"/>
  <c r="P15" i="1"/>
  <c r="S8" i="1" l="1"/>
  <c r="S5" i="1" l="1"/>
  <c r="S6" i="1"/>
  <c r="D15" i="6" l="1"/>
  <c r="D25" i="6" s="1"/>
  <c r="D26" i="6" l="1"/>
  <c r="D27" i="6" s="1"/>
  <c r="D8" i="7" l="1"/>
  <c r="D26" i="7" s="1"/>
  <c r="D28" i="7" s="1"/>
  <c r="F10" i="7"/>
  <c r="F8" i="7" l="1"/>
  <c r="F26" i="7" l="1"/>
  <c r="G8" i="7" s="1"/>
  <c r="F27" i="7" l="1"/>
  <c r="F28" i="7" s="1"/>
  <c r="G28" i="7" s="1"/>
  <c r="G26" i="7"/>
  <c r="G11" i="7"/>
  <c r="G6" i="7"/>
  <c r="G9" i="7"/>
  <c r="G3" i="7"/>
  <c r="G12" i="7"/>
  <c r="G17" i="7"/>
  <c r="G22" i="7"/>
  <c r="G34" i="7"/>
  <c r="G35" i="7" s="1"/>
  <c r="G15" i="7"/>
  <c r="G23" i="7"/>
  <c r="G21" i="7"/>
  <c r="G7" i="7"/>
  <c r="G13" i="7"/>
  <c r="G18" i="7"/>
  <c r="G19" i="7"/>
  <c r="G25" i="7"/>
  <c r="G14" i="7"/>
  <c r="G4" i="7"/>
  <c r="F32" i="7"/>
  <c r="G32" i="7" s="1"/>
  <c r="G5" i="7"/>
  <c r="G16" i="7"/>
  <c r="G20" i="7"/>
  <c r="G10"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tc={DA8AE6B9-2391-4CD3-9A76-9F1CDE9433D6}</author>
    <author>tc={D9BE827C-6511-40A0-B63E-EBBABA420728}</author>
    <author>tc={DB78E9AB-D485-4697-BB43-484017B1E2D1}</author>
  </authors>
  <commentList>
    <comment ref="F12" authorId="0" shapeId="0" xr:uid="{DA8AE6B9-2391-4CD3-9A76-9F1CDE9433D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Fin Registro
</t>
      </text>
    </comment>
    <comment ref="F13" authorId="1" shapeId="0" xr:uid="{D9BE827C-6511-40A0-B63E-EBBABA42072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Fin Registro
</t>
      </text>
    </comment>
    <comment ref="F14" authorId="2" shapeId="0" xr:uid="{DB78E9AB-D485-4697-BB43-484017B1E2D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Fin Registro
</t>
      </text>
    </comment>
  </commentList>
</comments>
</file>

<file path=xl/sharedStrings.xml><?xml version="1.0" encoding="utf-8"?>
<sst xmlns="http://schemas.openxmlformats.org/spreadsheetml/2006/main" count="554" uniqueCount="211">
  <si>
    <t>Etapa / Actividad</t>
  </si>
  <si>
    <t>Año 1</t>
  </si>
  <si>
    <t>Año 2</t>
  </si>
  <si>
    <t>Año 3</t>
  </si>
  <si>
    <t xml:space="preserve">Ejecución </t>
  </si>
  <si>
    <t>%</t>
  </si>
  <si>
    <t>Flamencos</t>
  </si>
  <si>
    <t>Cesar</t>
  </si>
  <si>
    <t>Yacopí</t>
  </si>
  <si>
    <t>Observación</t>
  </si>
  <si>
    <t>Geofísica</t>
  </si>
  <si>
    <t>Adquisición Sísmica</t>
  </si>
  <si>
    <t xml:space="preserve">-   </t>
  </si>
  <si>
    <t>Apoyo Gestión Técnica</t>
  </si>
  <si>
    <t xml:space="preserve">3 Profesionales y 2 vehiculos x 9 meses </t>
  </si>
  <si>
    <t>Estudios Hidrogeologicos y geomorofologia</t>
  </si>
  <si>
    <t>Procesamiento</t>
  </si>
  <si>
    <t xml:space="preserve"> -   </t>
  </si>
  <si>
    <t>Estrategia Socio Ambiental</t>
  </si>
  <si>
    <t>Monitoreos Ambientales</t>
  </si>
  <si>
    <t>Comunicaciones y pedagogia</t>
  </si>
  <si>
    <t>82 kusd de talleres ACGGP + 9 meses equipo comuncaciones (84 MCOP / Mes con 1 comunicador + 2 pregoneros)</t>
  </si>
  <si>
    <t>Convenio   Ejercito</t>
  </si>
  <si>
    <t>Convenio Ponal</t>
  </si>
  <si>
    <t>Inversion Social Voluntaria y obligatoria</t>
  </si>
  <si>
    <t>Se estima un 2%  de  adquisición</t>
  </si>
  <si>
    <t>Plan De Entorno</t>
  </si>
  <si>
    <t>Servicios profesionales</t>
  </si>
  <si>
    <t>Apoyo Gestión De Proyectos</t>
  </si>
  <si>
    <t>2 senior x 16 meses (54MCOP/MES)</t>
  </si>
  <si>
    <t>Apoyo Gestión Ambiental</t>
  </si>
  <si>
    <t>2 profesionales pleno x 16 meses (65MCOP/MES)</t>
  </si>
  <si>
    <t>Apoyo Gestión Bienes Y Servicios</t>
  </si>
  <si>
    <t xml:space="preserve">1 Profesional Junior x 16 meses (20 MCOP/MES = 13 Sal + 7 Cam) </t>
  </si>
  <si>
    <t>Apoyo Gestión Hs</t>
  </si>
  <si>
    <t>Apoyo Gestión Laboral</t>
  </si>
  <si>
    <t xml:space="preserve">1 Profesional Junior x 16 meses (21 MCOP/MES = 12 Sal + 9 Cam) </t>
  </si>
  <si>
    <t>Apoyo Gestión Seguridad Física</t>
  </si>
  <si>
    <t>1 Profesional antes de la operación + 2 Profesional durante operación  x 15 meses (38 MCOP/MES)</t>
  </si>
  <si>
    <t>Apoyo Gestión Social</t>
  </si>
  <si>
    <t xml:space="preserve">2 profesionales pleno x 15 meses (53 MCOP/MES)  </t>
  </si>
  <si>
    <t>Apoyo Prosperidad Social</t>
  </si>
  <si>
    <t>1 Profesional x 5 meses (18 mcop/mes = 10 sal + 8 trans)</t>
  </si>
  <si>
    <t>Viaticos</t>
  </si>
  <si>
    <t>15 meses</t>
  </si>
  <si>
    <t>Total Ejecucion</t>
  </si>
  <si>
    <t>Contingencia</t>
  </si>
  <si>
    <t>Total + Contingencias</t>
  </si>
  <si>
    <t>Area - km2</t>
  </si>
  <si>
    <t>Costo adquisicion x km2</t>
  </si>
  <si>
    <t>Costo total x km2</t>
  </si>
  <si>
    <t>Duracion Operativa</t>
  </si>
  <si>
    <t>TRM</t>
  </si>
  <si>
    <t>IPC</t>
  </si>
  <si>
    <t xml:space="preserve">Premisas </t>
  </si>
  <si>
    <t>Mantiene el esquem de trabajo implementado en flamencos, cesar y yacopi</t>
  </si>
  <si>
    <t>No se compárten recursos con otros proyectos</t>
  </si>
  <si>
    <t>Los servicios profesionales van hasta por la ejecucion (16 meses)</t>
  </si>
  <si>
    <t>AFE adquisición de Agosto 2023</t>
  </si>
  <si>
    <t>Finalización de registro en 2025</t>
  </si>
  <si>
    <t>geofisica</t>
  </si>
  <si>
    <t>estrategia</t>
  </si>
  <si>
    <t>conetingencias</t>
  </si>
  <si>
    <t xml:space="preserve">1 Profesionale Senior y 2 Pleno (Actas y Inmo) x 12 meses </t>
  </si>
  <si>
    <t>70 kusd de talleres ACGGP + 9 meses equipo comuncaciones (60 MCOP / Mes con 1 comunicador + 2 pregoneros)</t>
  </si>
  <si>
    <t>Se estima un 1%  de  adquisición</t>
  </si>
  <si>
    <t>2 senior x 15 meses (54MCOP/MES)</t>
  </si>
  <si>
    <t xml:space="preserve">2 profesionales pleno x 15 meses (65MCOP/MES) </t>
  </si>
  <si>
    <t xml:space="preserve">1 Profesional Junior x 15 meses (20 MCOP/MES = 13 Sal + 7Cam) </t>
  </si>
  <si>
    <t xml:space="preserve">1 Profesional Junior x 15 meses (21 MCOP/MES = 13 Sal + 8 Cam) </t>
  </si>
  <si>
    <t>1 Profesionale con vehiculo x 15 meses (26MCOP/MES)</t>
  </si>
  <si>
    <t>1 profesionales pleno x 15 meses (47 MCOP/MES)</t>
  </si>
  <si>
    <t>1 Profesional x 10 meses (20 mcop/mes = 12 sal + 8 trans)</t>
  </si>
  <si>
    <t>12 meses</t>
  </si>
  <si>
    <t xml:space="preserve">Viabilidad </t>
  </si>
  <si>
    <t>Profesionales de apoyo, MMA, Lidar (12 meses)</t>
  </si>
  <si>
    <t>Total + Viabilidad Sin Contingencia</t>
  </si>
  <si>
    <t>Los servicios profesionales van hasta por la ejecucion (15 meses)</t>
  </si>
  <si>
    <t xml:space="preserve">AFE adquisición de Junio 2024, diseño Opción 3 tiene mayor cantidad de trazas en los offset más lejanos </t>
  </si>
  <si>
    <t>Finalización de registro en 2026</t>
  </si>
  <si>
    <t>Escenario 1</t>
  </si>
  <si>
    <t>Escenario 2</t>
  </si>
  <si>
    <t>Escenario 3</t>
  </si>
  <si>
    <t>3 Profesionales ( 1 profesional x 16 meses, 2 profesionales x 9 meses)</t>
  </si>
  <si>
    <t>2 monitoreos; uno antes y otro despues de la adquisición</t>
  </si>
  <si>
    <t>80 kusd de talleres ACGGP + 10 meses equipo comuncaciones (66 MCOP / Mes con 1 comunicador + 2 pregoneros)</t>
  </si>
  <si>
    <t>Se estima un 1%  de  adquisicion….En Yacopi inversion social apalancada por OPEX, En flamencos se agrega PBC despues de que el proyecto estaba en ejeucion x 140 lkusd</t>
  </si>
  <si>
    <t>2 senior + 1 pleno x 16 meses</t>
  </si>
  <si>
    <t xml:space="preserve">1 Senior avanzado + 1 entrenamiento x 16 meses </t>
  </si>
  <si>
    <t>1 Profesional Junior x 16 meses (19 MCOP/MES = 11 Sal + 8 Cam) + IPC 13%</t>
  </si>
  <si>
    <t>1 Profesionales x 16 meses (20 MCOP/MES = 10 sal + 8 trans + 1 reemb) incluye IPC 13%</t>
  </si>
  <si>
    <t>1 senior avanzado + x 16 meses , (54 mcop/mes= (19 senior + 8 entre Sal + 21 Carr/conductor + 14 Refr, salo, gast viaje + 3 Reembol)</t>
  </si>
  <si>
    <t>16 meses</t>
  </si>
  <si>
    <t>Contingencias</t>
  </si>
  <si>
    <t>Premisas Escenario 1</t>
  </si>
  <si>
    <t xml:space="preserve">Premisas Escenario 2 y 3… </t>
  </si>
  <si>
    <t>Inversion social 1%</t>
  </si>
  <si>
    <t>Reduccion estrategia e comunicaciones (No ACCGP y menos meses equipo comunicaciones)</t>
  </si>
  <si>
    <t>Asumir compartir equipo de servicio a proyectos con  otro proyecto</t>
  </si>
  <si>
    <t>No incluir o reducir aseguramiento equipo ambiental</t>
  </si>
  <si>
    <t>No incluir o reducir aseguramiento laboral</t>
  </si>
  <si>
    <t>No incluir o reducir aseguramiento bienes y servicios</t>
  </si>
  <si>
    <t>No incluir o reducir Seguridad fisica</t>
  </si>
  <si>
    <t>No incluir o reducir gestion social</t>
  </si>
  <si>
    <t>No incluir o reducir prosperidad social</t>
  </si>
  <si>
    <t>Reducir viaticos</t>
  </si>
  <si>
    <t>Año 2026</t>
  </si>
  <si>
    <t>Año 2027</t>
  </si>
  <si>
    <t xml:space="preserve">82 kusd de talleres ACGGP + 184 Kusd 9 meses equipo comuncaciones </t>
  </si>
  <si>
    <t>(84 MCOP / Mes con 1 comunicador + 2 pregoneros)</t>
  </si>
  <si>
    <t xml:space="preserve">Inversion Social Voluntaria </t>
  </si>
  <si>
    <t>Para inversión se estima un 2%  del valor de adquisición</t>
  </si>
  <si>
    <t xml:space="preserve">2 prof. senior x 8 meses ejecución + 6 meses cierre </t>
  </si>
  <si>
    <t xml:space="preserve">1 prof. senior x 8 meses ejecución + 3 meses cierre </t>
  </si>
  <si>
    <t xml:space="preserve">1 prof. pleno x 8 meses ejecución + 3 meses cierre </t>
  </si>
  <si>
    <t xml:space="preserve">2 prof.  x 8 meses ejecución + 3 meses cierre </t>
  </si>
  <si>
    <t xml:space="preserve">1 prof senior x 8 meses ejecución + 6 meses cierre </t>
  </si>
  <si>
    <t xml:space="preserve">1 prof apoyo X 7 meses </t>
  </si>
  <si>
    <t>Apoyo HSE</t>
  </si>
  <si>
    <t>Etapa Ejecución</t>
  </si>
  <si>
    <t>Año 2025</t>
  </si>
  <si>
    <t xml:space="preserve">Estudios Hidrogeologicos </t>
  </si>
  <si>
    <t>Contrato ACGGP</t>
  </si>
  <si>
    <t xml:space="preserve">Etapa Viabilidad </t>
  </si>
  <si>
    <t>MMA</t>
  </si>
  <si>
    <t>Lidar</t>
  </si>
  <si>
    <t xml:space="preserve">Profesionales de Apoyo </t>
  </si>
  <si>
    <t>Total</t>
  </si>
  <si>
    <t>Total Ejecución + Viabilidad Sin Contingencia</t>
  </si>
  <si>
    <t xml:space="preserve">Los servicios profesionales van hasta por la ejecucion </t>
  </si>
  <si>
    <t>AFE adquisición de Junio 2023</t>
  </si>
  <si>
    <t>|</t>
  </si>
  <si>
    <t>Sísmica</t>
  </si>
  <si>
    <t>Km2</t>
  </si>
  <si>
    <t>Duración adquisición (meses)</t>
  </si>
  <si>
    <t>Profudidad objetivos (Pies)</t>
  </si>
  <si>
    <t>Fecha AFE Adqusición</t>
  </si>
  <si>
    <t>Planeacion/Viabilidad</t>
  </si>
  <si>
    <t>Ejecucion</t>
  </si>
  <si>
    <t>% Transversales</t>
  </si>
  <si>
    <t>SP / Km2</t>
  </si>
  <si>
    <t>Valor adquisicion x km2</t>
  </si>
  <si>
    <t>Valor adq + tranx km2</t>
  </si>
  <si>
    <t>Ejecucion x vIgencia</t>
  </si>
  <si>
    <t>Observaciones</t>
  </si>
  <si>
    <t>Costo Adquisición</t>
  </si>
  <si>
    <t>HIdrogeología</t>
  </si>
  <si>
    <t>Geomorfología</t>
  </si>
  <si>
    <t>Estudio minero</t>
  </si>
  <si>
    <t>Inverventoria</t>
  </si>
  <si>
    <t>Costos transversales</t>
  </si>
  <si>
    <t>Valor</t>
  </si>
  <si>
    <t>P</t>
  </si>
  <si>
    <t>Yondo 3D</t>
  </si>
  <si>
    <t>2000 a 11000</t>
  </si>
  <si>
    <t>Anturio 3D</t>
  </si>
  <si>
    <t>10000 a 11000</t>
  </si>
  <si>
    <t>Cristalina Norte 3D</t>
  </si>
  <si>
    <t>4000 a 16000</t>
  </si>
  <si>
    <t>Yarima 3D</t>
  </si>
  <si>
    <t>4000 a 15000</t>
  </si>
  <si>
    <t>Mangos 3D</t>
  </si>
  <si>
    <t>Llanos 121 3D (operado por PAREX, 50%)</t>
  </si>
  <si>
    <t> </t>
  </si>
  <si>
    <t>Se estima un tiempo para resolver el Recurso de reposición ante Corporinoquia de 541 días. El equipo ambiental de Ecopetrol hará seguimiento, ya que el proyecto se hará con las MMA de Ecopetrol</t>
  </si>
  <si>
    <t>Almirante 3D</t>
  </si>
  <si>
    <t>Planeación contiene equipo de entorno y equipo de proyectos primer año, EIA, pre consulta, consulta previa (en paralelo con EIA) y Licenciamiento ambiental. Batimetría puede ir en paralelo con consulta previa y EIA.</t>
  </si>
  <si>
    <t>GUA OFF 1 3D</t>
  </si>
  <si>
    <t>E</t>
  </si>
  <si>
    <t>26.5</t>
  </si>
  <si>
    <t>Cesar 2023 3D</t>
  </si>
  <si>
    <t>3500 a 9000</t>
  </si>
  <si>
    <t>20.49</t>
  </si>
  <si>
    <t>Yacopi 3D</t>
  </si>
  <si>
    <t>13.61</t>
  </si>
  <si>
    <t>Notas</t>
  </si>
  <si>
    <t>Interventoría</t>
  </si>
  <si>
    <t>Cifras en dólares y TRM de 4100 COP</t>
  </si>
  <si>
    <t>Planeación</t>
  </si>
  <si>
    <t>Técnico</t>
  </si>
  <si>
    <t>Comunicaciones</t>
  </si>
  <si>
    <t>No se incluyen contingencias</t>
  </si>
  <si>
    <t>Ejecutado</t>
  </si>
  <si>
    <t>Inmobiliaria</t>
  </si>
  <si>
    <t>ACGGP</t>
  </si>
  <si>
    <t>Estimados de costos Clase V</t>
  </si>
  <si>
    <t>Actas</t>
  </si>
  <si>
    <t>HSE</t>
  </si>
  <si>
    <t>B&amp;S</t>
  </si>
  <si>
    <t>Planeacion</t>
  </si>
  <si>
    <t>PBC / ISV</t>
  </si>
  <si>
    <t>Preconsulta</t>
  </si>
  <si>
    <t>CONVENIOS</t>
  </si>
  <si>
    <t>Consulta</t>
  </si>
  <si>
    <t>PROYECTO</t>
  </si>
  <si>
    <t>Servicios de profesionales</t>
  </si>
  <si>
    <t>EIA</t>
  </si>
  <si>
    <t>SOCIAL</t>
  </si>
  <si>
    <t>Licenciamiento</t>
  </si>
  <si>
    <t>AMBIENTAL</t>
  </si>
  <si>
    <t>VIATICOS</t>
  </si>
  <si>
    <t>OFFSHORE</t>
  </si>
  <si>
    <t>Incluye batimetría al detalle</t>
  </si>
  <si>
    <t>Offshore</t>
  </si>
  <si>
    <t>Proyectos</t>
  </si>
  <si>
    <t>GUAOFF-1</t>
  </si>
  <si>
    <t>Agente marítimo</t>
  </si>
  <si>
    <t>PBC</t>
  </si>
  <si>
    <t>Viáticos</t>
  </si>
  <si>
    <t>OFM</t>
  </si>
  <si>
    <t>Completa Geovanni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</si>
</sst>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1" formatCode="_-* #,##0_-;\-* #,##0_-;_-* &quot;-&quot;_-;_-@_-"/>
    <numFmt numFmtId="44" formatCode="_-&quot;$&quot;\ * #,##0.00_-;\-&quot;$&quot;\ * #,##0.00_-;_-&quot;$&quot;\ * &quot;-&quot;??_-;_-@_-"/>
    <numFmt numFmtId="43" formatCode="_-* #,##0.00_-;\-* #,##0.00_-;_-* &quot;-&quot;??_-;_-@_-"/>
    <numFmt numFmtId="164" formatCode="_-&quot;XDR&quot;* #,##0.00_-;\-&quot;XDR&quot;* #,##0.00_-;_-&quot;XDR&quot;* &quot;-&quot;??_-;_-@_-"/>
    <numFmt numFmtId="165" formatCode="_-[$$-2C0A]\ * #,##0_-;\-[$$-2C0A]\ * #,##0_-;_-[$$-2C0A]\ * &quot;-&quot;??_-;_-@_-"/>
    <numFmt numFmtId="166" formatCode="0.0%"/>
    <numFmt numFmtId="167" formatCode="_-* #,##0_-;\-* #,##0_-;_-* &quot;-&quot;??_-;_-@_-"/>
    <numFmt numFmtId="168" formatCode="_-[$$-2C0A]\ * #,##0.00_-;\-[$$-2C0A]\ * #,##0.00_-;_-[$$-2C0A]\ * &quot;-&quot;??_-;_-@_-"/>
    <numFmt numFmtId="169" formatCode="0.0"/>
    <numFmt numFmtId="170" formatCode="_(* #,##0_);_(* \(#,##0\);_(* &quot;-&quot;??_);_(@_)"/>
    <numFmt numFmtId="171" formatCode="_-&quot;$&quot;\ * #,##0_-;\-&quot;$&quot;\ * #,##0_-;_-&quot;$&quot;\ * &quot;-&quot;??_-;_-@_-"/>
  </numFmts>
  <fonts count="19" x14ac:knownFonts="1">
    <font>
      <sz val="11"/>
      <color theme="1"/>
      <name val="Aptos Narrow"/>
      <family val="2"/>
      <scheme val="minor"/>
    </font>
    <font>
      <b/>
      <sz val="11"/>
      <color theme="1"/>
      <name val="Aptos Narrow"/>
      <family val="2"/>
      <scheme val="minor"/>
    </font>
    <font>
      <sz val="11"/>
      <color theme="1"/>
      <name val="Aptos Narrow"/>
      <family val="2"/>
      <scheme val="minor"/>
    </font>
    <font>
      <sz val="11"/>
      <color rgb="FF000000"/>
      <name val="Aptos Narrow"/>
      <family val="2"/>
    </font>
    <font>
      <sz val="11"/>
      <color rgb="FF000000"/>
      <name val="Aptos Narrow"/>
      <family val="2"/>
      <scheme val="minor"/>
    </font>
    <font>
      <sz val="11"/>
      <color theme="1"/>
      <name val="Symbol"/>
      <family val="1"/>
      <charset val="2"/>
    </font>
    <font>
      <sz val="11"/>
      <color rgb="FF000000"/>
      <name val="Calibri"/>
      <family val="2"/>
    </font>
    <font>
      <b/>
      <sz val="11"/>
      <color theme="0"/>
      <name val="Aptos Narrow"/>
      <family val="2"/>
      <scheme val="minor"/>
    </font>
    <font>
      <b/>
      <sz val="11"/>
      <color theme="0"/>
      <name val="Calibri"/>
      <family val="2"/>
    </font>
    <font>
      <b/>
      <sz val="11"/>
      <color rgb="FF000000"/>
      <name val="Calibri"/>
      <family val="2"/>
    </font>
    <font>
      <b/>
      <sz val="11"/>
      <color rgb="FFFF0000"/>
      <name val="Aptos Narrow"/>
      <family val="2"/>
      <scheme val="minor"/>
    </font>
    <font>
      <b/>
      <sz val="11"/>
      <color rgb="FFFF0000"/>
      <name val="Calibri"/>
      <family val="2"/>
    </font>
    <font>
      <sz val="11"/>
      <color rgb="FFFF0000"/>
      <name val="Aptos Narrow"/>
      <family val="2"/>
      <scheme val="minor"/>
    </font>
    <font>
      <sz val="11"/>
      <name val="Calibri"/>
      <family val="2"/>
    </font>
    <font>
      <sz val="11"/>
      <color rgb="FFFF0000"/>
      <name val="Calibri"/>
      <family val="2"/>
    </font>
    <font>
      <sz val="11"/>
      <name val="Aptos Narrow"/>
      <family val="2"/>
      <scheme val="minor"/>
    </font>
    <font>
      <b/>
      <sz val="11"/>
      <name val="Calibri"/>
      <family val="2"/>
    </font>
    <font>
      <b/>
      <sz val="11"/>
      <name val="Aptos Narrow"/>
      <family val="2"/>
      <scheme val="minor"/>
    </font>
    <font>
      <sz val="8"/>
      <name val="Aptos Narrow"/>
      <family val="2"/>
      <scheme val="minor"/>
    </font>
  </fonts>
  <fills count="1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FFFF"/>
        <bgColor rgb="FF000000"/>
      </patternFill>
    </fill>
    <fill>
      <patternFill patternType="solid">
        <fgColor rgb="FF002060"/>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theme="3" tint="0.749992370372631"/>
        <bgColor indexed="64"/>
      </patternFill>
    </fill>
    <fill>
      <patternFill patternType="solid">
        <fgColor theme="0" tint="-0.34998626667073579"/>
        <bgColor indexed="64"/>
      </patternFill>
    </fill>
    <fill>
      <patternFill patternType="solid">
        <fgColor rgb="FF002060"/>
        <bgColor rgb="FFDDEBF7"/>
      </patternFill>
    </fill>
    <fill>
      <patternFill patternType="solid">
        <fgColor theme="7" tint="-0.249977111117893"/>
        <bgColor rgb="FFDDEBF7"/>
      </patternFill>
    </fill>
    <fill>
      <patternFill patternType="solid">
        <fgColor theme="3" tint="0.499984740745262"/>
        <bgColor rgb="FFDDEBF7"/>
      </patternFill>
    </fill>
    <fill>
      <patternFill patternType="solid">
        <fgColor theme="4" tint="0.39997558519241921"/>
        <bgColor rgb="FFDDEBF7"/>
      </patternFill>
    </fill>
    <fill>
      <patternFill patternType="solid">
        <fgColor theme="0" tint="-0.14999847407452621"/>
        <bgColor indexed="64"/>
      </patternFill>
    </fill>
    <fill>
      <patternFill patternType="solid">
        <fgColor theme="2" tint="-0.249977111117893"/>
        <bgColor indexed="64"/>
      </patternFill>
    </fill>
    <fill>
      <patternFill patternType="solid">
        <fgColor theme="9" tint="0.39997558519241921"/>
        <bgColor indexed="64"/>
      </patternFill>
    </fill>
  </fills>
  <borders count="30">
    <border>
      <left/>
      <right/>
      <top/>
      <bottom/>
      <diagonal/>
    </border>
    <border>
      <left style="thin">
        <color auto="1"/>
      </left>
      <right style="hair">
        <color theme="0" tint="-0.24994659260841701"/>
      </right>
      <top style="hair">
        <color theme="0" tint="-0.24994659260841701"/>
      </top>
      <bottom style="hair">
        <color theme="0" tint="-0.24994659260841701"/>
      </bottom>
      <diagonal/>
    </border>
    <border>
      <left style="hair">
        <color theme="0" tint="-0.24994659260841701"/>
      </left>
      <right style="hair">
        <color theme="0" tint="-0.24994659260841701"/>
      </right>
      <top style="hair">
        <color theme="0" tint="-0.24994659260841701"/>
      </top>
      <bottom style="hair">
        <color theme="0" tint="-0.24994659260841701"/>
      </bottom>
      <diagonal/>
    </border>
    <border>
      <left style="thin">
        <color theme="0" tint="-0.24994659260841701"/>
      </left>
      <right style="hair">
        <color theme="0" tint="-0.24994659260841701"/>
      </right>
      <top style="thin">
        <color theme="0" tint="-0.24994659260841701"/>
      </top>
      <bottom style="hair">
        <color theme="0" tint="-0.24994659260841701"/>
      </bottom>
      <diagonal/>
    </border>
    <border>
      <left style="hair">
        <color theme="0" tint="-0.24994659260841701"/>
      </left>
      <right style="hair">
        <color theme="0" tint="-0.24994659260841701"/>
      </right>
      <top style="thin">
        <color theme="0" tint="-0.24994659260841701"/>
      </top>
      <bottom style="hair">
        <color theme="0" tint="-0.24994659260841701"/>
      </bottom>
      <diagonal/>
    </border>
    <border>
      <left style="hair">
        <color theme="0" tint="-0.24994659260841701"/>
      </left>
      <right style="thin">
        <color theme="0" tint="-0.24994659260841701"/>
      </right>
      <top style="thin">
        <color theme="0" tint="-0.24994659260841701"/>
      </top>
      <bottom style="hair">
        <color theme="0" tint="-0.24994659260841701"/>
      </bottom>
      <diagonal/>
    </border>
    <border>
      <left style="thin">
        <color theme="0" tint="-0.24994659260841701"/>
      </left>
      <right style="hair">
        <color theme="0" tint="-0.24994659260841701"/>
      </right>
      <top style="hair">
        <color theme="0" tint="-0.24994659260841701"/>
      </top>
      <bottom style="hair">
        <color theme="0" tint="-0.24994659260841701"/>
      </bottom>
      <diagonal/>
    </border>
    <border>
      <left style="hair">
        <color theme="0" tint="-0.24994659260841701"/>
      </left>
      <right style="thin">
        <color theme="0" tint="-0.24994659260841701"/>
      </right>
      <top style="hair">
        <color theme="0" tint="-0.24994659260841701"/>
      </top>
      <bottom style="hair">
        <color theme="0" tint="-0.24994659260841701"/>
      </bottom>
      <diagonal/>
    </border>
    <border>
      <left style="thin">
        <color theme="0" tint="-0.24994659260841701"/>
      </left>
      <right style="hair">
        <color theme="0" tint="-0.24994659260841701"/>
      </right>
      <top style="hair">
        <color theme="0" tint="-0.24994659260841701"/>
      </top>
      <bottom style="thin">
        <color theme="0" tint="-0.24994659260841701"/>
      </bottom>
      <diagonal/>
    </border>
    <border>
      <left style="hair">
        <color theme="0" tint="-0.24994659260841701"/>
      </left>
      <right style="hair">
        <color theme="0" tint="-0.24994659260841701"/>
      </right>
      <top style="hair">
        <color theme="0" tint="-0.24994659260841701"/>
      </top>
      <bottom style="thin">
        <color theme="0" tint="-0.24994659260841701"/>
      </bottom>
      <diagonal/>
    </border>
    <border>
      <left style="hair">
        <color theme="0" tint="-0.24994659260841701"/>
      </left>
      <right style="thin">
        <color theme="0" tint="-0.24994659260841701"/>
      </right>
      <top style="hair">
        <color theme="0" tint="-0.24994659260841701"/>
      </top>
      <bottom style="thin">
        <color theme="0" tint="-0.24994659260841701"/>
      </bottom>
      <diagonal/>
    </border>
    <border>
      <left style="hair">
        <color theme="0" tint="-0.24994659260841701"/>
      </left>
      <right/>
      <top/>
      <bottom style="hair">
        <color theme="0" tint="-0.24994659260841701"/>
      </bottom>
      <diagonal/>
    </border>
    <border>
      <left/>
      <right style="hair">
        <color theme="0" tint="-0.24994659260841701"/>
      </right>
      <top/>
      <bottom style="hair">
        <color theme="0" tint="-0.2499465926084170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hair">
        <color theme="0" tint="-0.24994659260841701"/>
      </left>
      <right/>
      <top style="thin">
        <color theme="0" tint="-0.24994659260841701"/>
      </top>
      <bottom style="hair">
        <color theme="0" tint="-0.24994659260841701"/>
      </bottom>
      <diagonal/>
    </border>
    <border>
      <left/>
      <right/>
      <top style="thin">
        <color theme="0" tint="-0.24994659260841701"/>
      </top>
      <bottom style="hair">
        <color theme="0" tint="-0.24994659260841701"/>
      </bottom>
      <diagonal/>
    </border>
    <border>
      <left/>
      <right style="hair">
        <color theme="0" tint="-0.24994659260841701"/>
      </right>
      <top style="thin">
        <color theme="0" tint="-0.24994659260841701"/>
      </top>
      <bottom style="hair">
        <color theme="0" tint="-0.24994659260841701"/>
      </bottom>
      <diagonal/>
    </border>
    <border>
      <left/>
      <right style="hair">
        <color theme="0" tint="-0.24994659260841701"/>
      </right>
      <top style="thin">
        <color theme="1"/>
      </top>
      <bottom style="hair">
        <color theme="0" tint="-0.24994659260841701"/>
      </bottom>
      <diagonal/>
    </border>
    <border>
      <left style="hair">
        <color theme="0" tint="-0.24994659260841701"/>
      </left>
      <right style="hair">
        <color theme="0" tint="-0.24994659260841701"/>
      </right>
      <top style="thin">
        <color theme="1"/>
      </top>
      <bottom style="hair">
        <color theme="0" tint="-0.24994659260841701"/>
      </bottom>
      <diagonal/>
    </border>
    <border>
      <left/>
      <right style="hair">
        <color theme="0" tint="-0.24994659260841701"/>
      </right>
      <top style="hair">
        <color theme="0" tint="-0.24994659260841701"/>
      </top>
      <bottom style="hair">
        <color theme="0" tint="-0.24994659260841701"/>
      </bottom>
      <diagonal/>
    </border>
    <border>
      <left style="hair">
        <color theme="0" tint="-0.24994659260841701"/>
      </left>
      <right/>
      <top style="hair">
        <color theme="0" tint="-0.24994659260841701"/>
      </top>
      <bottom style="hair">
        <color theme="0" tint="-0.24994659260841701"/>
      </bottom>
      <diagonal/>
    </border>
    <border>
      <left/>
      <right style="hair">
        <color theme="0" tint="-0.24994659260841701"/>
      </right>
      <top style="hair">
        <color theme="0" tint="-0.24994659260841701"/>
      </top>
      <bottom style="thin">
        <color theme="1"/>
      </bottom>
      <diagonal/>
    </border>
    <border>
      <left style="hair">
        <color theme="0" tint="-0.24994659260841701"/>
      </left>
      <right style="hair">
        <color theme="0" tint="-0.24994659260841701"/>
      </right>
      <top style="hair">
        <color theme="0" tint="-0.24994659260841701"/>
      </top>
      <bottom style="thin">
        <color theme="1"/>
      </bottom>
      <diagonal/>
    </border>
    <border>
      <left style="hair">
        <color theme="0" tint="-0.24994659260841701"/>
      </left>
      <right style="hair">
        <color theme="0" tint="-0.24994659260841701"/>
      </right>
      <top/>
      <bottom style="hair">
        <color theme="0" tint="-0.24994659260841701"/>
      </bottom>
      <diagonal/>
    </border>
    <border>
      <left style="hair">
        <color theme="0" tint="-0.24994659260841701"/>
      </left>
      <right style="hair">
        <color theme="0" tint="-0.24994659260841701"/>
      </right>
      <top style="hair">
        <color theme="0" tint="-0.24994659260841701"/>
      </top>
      <bottom/>
      <diagonal/>
    </border>
    <border>
      <left/>
      <right style="hair">
        <color theme="0" tint="-0.24994659260841701"/>
      </right>
      <top style="hair">
        <color theme="0" tint="-0.24994659260841701"/>
      </top>
      <bottom/>
      <diagonal/>
    </border>
    <border>
      <left style="thin">
        <color theme="0" tint="-0.24994659260841701"/>
      </left>
      <right style="hair">
        <color theme="0" tint="-0.24994659260841701"/>
      </right>
      <top style="hair">
        <color theme="0" tint="-0.24994659260841701"/>
      </top>
      <bottom/>
      <diagonal/>
    </border>
    <border>
      <left style="hair">
        <color theme="0" tint="-0.24994659260841701"/>
      </left>
      <right style="thin">
        <color theme="0" tint="-0.24994659260841701"/>
      </right>
      <top style="hair">
        <color theme="0" tint="-0.24994659260841701"/>
      </top>
      <bottom/>
      <diagonal/>
    </border>
  </borders>
  <cellStyleXfs count="6">
    <xf numFmtId="0" fontId="0" fillId="0" borderId="0"/>
    <xf numFmtId="9"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4" fontId="2" fillId="0" borderId="0" applyFont="0" applyFill="0" applyBorder="0" applyAlignment="0" applyProtection="0"/>
  </cellStyleXfs>
  <cellXfs count="199">
    <xf numFmtId="0" fontId="0" fillId="0" borderId="0" xfId="0"/>
    <xf numFmtId="0" fontId="0" fillId="2" borderId="0" xfId="0" applyFill="1" applyAlignment="1">
      <alignment vertical="center"/>
    </xf>
    <xf numFmtId="0" fontId="0" fillId="0" borderId="0" xfId="0" applyAlignment="1">
      <alignment vertical="center"/>
    </xf>
    <xf numFmtId="0" fontId="0" fillId="2" borderId="2" xfId="0" applyFill="1" applyBorder="1" applyAlignment="1">
      <alignment horizontal="center" vertical="center"/>
    </xf>
    <xf numFmtId="0" fontId="1" fillId="7" borderId="2" xfId="0" applyFont="1" applyFill="1" applyBorder="1" applyAlignment="1">
      <alignment horizontal="center" vertical="center" wrapText="1"/>
    </xf>
    <xf numFmtId="0" fontId="0" fillId="2" borderId="6" xfId="0" applyFill="1" applyBorder="1" applyAlignment="1">
      <alignment vertical="center"/>
    </xf>
    <xf numFmtId="165" fontId="0" fillId="2" borderId="2" xfId="0" applyNumberFormat="1" applyFill="1" applyBorder="1" applyAlignment="1">
      <alignment vertical="center"/>
    </xf>
    <xf numFmtId="165" fontId="0" fillId="3" borderId="2" xfId="0" applyNumberFormat="1" applyFill="1" applyBorder="1" applyAlignment="1">
      <alignment vertical="center"/>
    </xf>
    <xf numFmtId="0" fontId="1" fillId="9" borderId="2" xfId="0" applyFont="1" applyFill="1" applyBorder="1" applyAlignment="1">
      <alignment horizontal="center" vertical="center"/>
    </xf>
    <xf numFmtId="0" fontId="1" fillId="7" borderId="2" xfId="0" applyFont="1" applyFill="1" applyBorder="1" applyAlignment="1">
      <alignment horizontal="center" vertical="center"/>
    </xf>
    <xf numFmtId="165" fontId="4" fillId="2" borderId="2" xfId="0" applyNumberFormat="1" applyFont="1" applyFill="1" applyBorder="1" applyAlignment="1">
      <alignment vertical="center"/>
    </xf>
    <xf numFmtId="166" fontId="0" fillId="2" borderId="2" xfId="1" applyNumberFormat="1" applyFont="1" applyFill="1" applyBorder="1" applyAlignment="1">
      <alignment vertical="center"/>
    </xf>
    <xf numFmtId="14" fontId="0" fillId="2" borderId="2" xfId="0" applyNumberFormat="1" applyFill="1" applyBorder="1" applyAlignment="1">
      <alignment vertical="center"/>
    </xf>
    <xf numFmtId="0" fontId="0" fillId="2" borderId="2" xfId="0" applyFill="1" applyBorder="1" applyAlignment="1">
      <alignment vertical="center"/>
    </xf>
    <xf numFmtId="0" fontId="0" fillId="0" borderId="2" xfId="0" applyBorder="1" applyAlignment="1">
      <alignment vertical="center"/>
    </xf>
    <xf numFmtId="165" fontId="0" fillId="0" borderId="2" xfId="0" applyNumberFormat="1" applyBorder="1" applyAlignment="1">
      <alignment vertical="center"/>
    </xf>
    <xf numFmtId="0" fontId="0" fillId="0" borderId="7" xfId="0" applyBorder="1" applyAlignment="1">
      <alignment vertical="center"/>
    </xf>
    <xf numFmtId="0" fontId="5" fillId="0" borderId="7" xfId="0" applyFont="1" applyBorder="1" applyAlignment="1">
      <alignment vertical="center"/>
    </xf>
    <xf numFmtId="0" fontId="7" fillId="5" borderId="8" xfId="0" applyFont="1" applyFill="1" applyBorder="1" applyAlignment="1">
      <alignment horizontal="center" vertical="center"/>
    </xf>
    <xf numFmtId="0" fontId="7" fillId="5" borderId="9" xfId="0" applyFont="1" applyFill="1" applyBorder="1" applyAlignment="1">
      <alignment horizontal="center" vertical="center"/>
    </xf>
    <xf numFmtId="165" fontId="7" fillId="5" borderId="9" xfId="0" applyNumberFormat="1" applyFont="1" applyFill="1" applyBorder="1" applyAlignment="1">
      <alignment horizontal="center" vertical="center"/>
    </xf>
    <xf numFmtId="165" fontId="7" fillId="6" borderId="9" xfId="0" applyNumberFormat="1" applyFont="1" applyFill="1" applyBorder="1" applyAlignment="1">
      <alignment horizontal="center" vertical="center"/>
    </xf>
    <xf numFmtId="165" fontId="1" fillId="7" borderId="9" xfId="0" applyNumberFormat="1" applyFont="1" applyFill="1" applyBorder="1" applyAlignment="1">
      <alignment horizontal="center" vertical="center"/>
    </xf>
    <xf numFmtId="165" fontId="1" fillId="8" borderId="9" xfId="0" applyNumberFormat="1" applyFont="1" applyFill="1" applyBorder="1" applyAlignment="1">
      <alignment horizontal="center" vertical="center"/>
    </xf>
    <xf numFmtId="0" fontId="0" fillId="8" borderId="9" xfId="0" applyFill="1" applyBorder="1" applyAlignment="1">
      <alignment vertical="center"/>
    </xf>
    <xf numFmtId="165" fontId="1" fillId="9" borderId="9" xfId="0" applyNumberFormat="1" applyFont="1" applyFill="1" applyBorder="1" applyAlignment="1">
      <alignment horizontal="center" vertical="center"/>
    </xf>
    <xf numFmtId="0" fontId="5" fillId="9" borderId="10" xfId="0" applyFont="1" applyFill="1" applyBorder="1" applyAlignment="1">
      <alignment vertical="center"/>
    </xf>
    <xf numFmtId="10" fontId="0" fillId="0" borderId="0" xfId="0" applyNumberFormat="1" applyAlignment="1">
      <alignment vertical="center"/>
    </xf>
    <xf numFmtId="9" fontId="0" fillId="0" borderId="0" xfId="0" applyNumberFormat="1" applyAlignment="1">
      <alignment vertical="center"/>
    </xf>
    <xf numFmtId="0" fontId="0" fillId="2" borderId="1" xfId="0" applyFill="1" applyBorder="1" applyAlignment="1">
      <alignment vertical="center"/>
    </xf>
    <xf numFmtId="165" fontId="0" fillId="3" borderId="0" xfId="0" applyNumberFormat="1" applyFill="1" applyAlignment="1">
      <alignment vertical="center"/>
    </xf>
    <xf numFmtId="0" fontId="0" fillId="2" borderId="0" xfId="0" applyFill="1" applyAlignment="1">
      <alignment horizontal="center" vertical="center"/>
    </xf>
    <xf numFmtId="41" fontId="0" fillId="2" borderId="7" xfId="0" applyNumberFormat="1" applyFill="1" applyBorder="1" applyAlignment="1">
      <alignment vertical="center"/>
    </xf>
    <xf numFmtId="14" fontId="0" fillId="2" borderId="2" xfId="0" applyNumberFormat="1" applyFill="1" applyBorder="1" applyAlignment="1">
      <alignment horizontal="center" vertical="center"/>
    </xf>
    <xf numFmtId="14" fontId="3" fillId="4" borderId="2" xfId="0" applyNumberFormat="1" applyFont="1" applyFill="1" applyBorder="1" applyAlignment="1">
      <alignment horizontal="center" vertical="center"/>
    </xf>
    <xf numFmtId="9" fontId="4" fillId="2" borderId="2" xfId="1" applyFont="1" applyFill="1" applyBorder="1" applyAlignment="1">
      <alignment vertical="center"/>
    </xf>
    <xf numFmtId="0" fontId="0" fillId="0" borderId="13" xfId="0" applyBorder="1" applyAlignment="1">
      <alignment vertical="center"/>
    </xf>
    <xf numFmtId="0" fontId="0" fillId="0" borderId="13" xfId="0" applyBorder="1" applyAlignment="1">
      <alignment vertical="center" wrapText="1"/>
    </xf>
    <xf numFmtId="9" fontId="1" fillId="0" borderId="13" xfId="0" applyNumberFormat="1" applyFont="1" applyBorder="1" applyAlignment="1">
      <alignment vertical="center"/>
    </xf>
    <xf numFmtId="0" fontId="1" fillId="0" borderId="13" xfId="0" applyFont="1" applyBorder="1" applyAlignment="1">
      <alignment vertical="center"/>
    </xf>
    <xf numFmtId="0" fontId="0" fillId="0" borderId="14" xfId="0" applyBorder="1" applyAlignment="1">
      <alignment vertical="center" wrapText="1"/>
    </xf>
    <xf numFmtId="0" fontId="1" fillId="0" borderId="15" xfId="0" applyFont="1" applyBorder="1" applyAlignment="1">
      <alignment vertical="center"/>
    </xf>
    <xf numFmtId="0" fontId="0" fillId="0" borderId="15" xfId="0" applyBorder="1" applyAlignment="1">
      <alignment vertical="center"/>
    </xf>
    <xf numFmtId="10" fontId="0" fillId="0" borderId="15" xfId="0" applyNumberFormat="1" applyBorder="1" applyAlignment="1">
      <alignment vertical="center"/>
    </xf>
    <xf numFmtId="0" fontId="0" fillId="0" borderId="7" xfId="0" applyBorder="1" applyAlignment="1">
      <alignment horizontal="left" vertical="center"/>
    </xf>
    <xf numFmtId="0" fontId="6" fillId="0" borderId="7" xfId="0" applyFont="1" applyBorder="1" applyAlignment="1">
      <alignment vertical="center"/>
    </xf>
    <xf numFmtId="0" fontId="8" fillId="10" borderId="19" xfId="0" applyFont="1" applyFill="1" applyBorder="1" applyAlignment="1">
      <alignment horizontal="center" vertical="center"/>
    </xf>
    <xf numFmtId="0" fontId="8" fillId="10" borderId="20" xfId="0" applyFont="1" applyFill="1" applyBorder="1" applyAlignment="1">
      <alignment horizontal="center" vertical="center"/>
    </xf>
    <xf numFmtId="0" fontId="8" fillId="11" borderId="20" xfId="0" applyFont="1" applyFill="1" applyBorder="1" applyAlignment="1">
      <alignment horizontal="center" vertical="center"/>
    </xf>
    <xf numFmtId="0" fontId="8" fillId="12" borderId="20" xfId="0" applyFont="1" applyFill="1" applyBorder="1" applyAlignment="1">
      <alignment horizontal="center" vertical="center"/>
    </xf>
    <xf numFmtId="0" fontId="8" fillId="13" borderId="20" xfId="0" applyFont="1" applyFill="1" applyBorder="1" applyAlignment="1">
      <alignment horizontal="center" vertical="center"/>
    </xf>
    <xf numFmtId="0" fontId="0" fillId="0" borderId="0" xfId="0" applyAlignment="1">
      <alignment horizontal="center" vertical="center"/>
    </xf>
    <xf numFmtId="0" fontId="0" fillId="2" borderId="0" xfId="0" applyFill="1"/>
    <xf numFmtId="0" fontId="9" fillId="14" borderId="21" xfId="0" applyFont="1" applyFill="1" applyBorder="1" applyAlignment="1">
      <alignment horizontal="left" indent="1"/>
    </xf>
    <xf numFmtId="165" fontId="9" fillId="14" borderId="2" xfId="3" applyNumberFormat="1" applyFont="1" applyFill="1" applyBorder="1"/>
    <xf numFmtId="10" fontId="9" fillId="14" borderId="2" xfId="1" applyNumberFormat="1" applyFont="1" applyFill="1" applyBorder="1" applyAlignment="1">
      <alignment horizontal="center"/>
    </xf>
    <xf numFmtId="165" fontId="9" fillId="14" borderId="22" xfId="3" applyNumberFormat="1" applyFont="1" applyFill="1" applyBorder="1"/>
    <xf numFmtId="0" fontId="0" fillId="0" borderId="21" xfId="0" applyBorder="1" applyAlignment="1">
      <alignment horizontal="left" indent="2"/>
    </xf>
    <xf numFmtId="165" fontId="6" fillId="0" borderId="2" xfId="3" applyNumberFormat="1" applyFont="1" applyBorder="1"/>
    <xf numFmtId="10" fontId="6" fillId="0" borderId="2" xfId="1" applyNumberFormat="1" applyFont="1" applyBorder="1" applyAlignment="1">
      <alignment horizontal="center"/>
    </xf>
    <xf numFmtId="165" fontId="0" fillId="2" borderId="0" xfId="0" applyNumberFormat="1" applyFill="1"/>
    <xf numFmtId="168" fontId="0" fillId="2" borderId="0" xfId="0" applyNumberFormat="1" applyFill="1"/>
    <xf numFmtId="10" fontId="0" fillId="2" borderId="0" xfId="1" applyNumberFormat="1" applyFont="1" applyFill="1"/>
    <xf numFmtId="168" fontId="0" fillId="2" borderId="0" xfId="3" applyNumberFormat="1" applyFont="1" applyFill="1"/>
    <xf numFmtId="0" fontId="8" fillId="10" borderId="21" xfId="0" applyFont="1" applyFill="1" applyBorder="1" applyAlignment="1">
      <alignment horizontal="left"/>
    </xf>
    <xf numFmtId="165" fontId="8" fillId="10" borderId="2" xfId="3" applyNumberFormat="1" applyFont="1" applyFill="1" applyBorder="1"/>
    <xf numFmtId="10" fontId="8" fillId="10" borderId="2" xfId="1" applyNumberFormat="1" applyFont="1" applyFill="1" applyBorder="1" applyAlignment="1">
      <alignment horizontal="center"/>
    </xf>
    <xf numFmtId="165" fontId="8" fillId="11" borderId="2" xfId="3" applyNumberFormat="1" applyFont="1" applyFill="1" applyBorder="1"/>
    <xf numFmtId="165" fontId="8" fillId="12" borderId="2" xfId="3" applyNumberFormat="1" applyFont="1" applyFill="1" applyBorder="1"/>
    <xf numFmtId="0" fontId="10" fillId="0" borderId="21" xfId="0" applyFont="1" applyBorder="1" applyAlignment="1">
      <alignment horizontal="left" indent="2"/>
    </xf>
    <xf numFmtId="165" fontId="11" fillId="0" borderId="2" xfId="3" applyNumberFormat="1" applyFont="1" applyBorder="1"/>
    <xf numFmtId="10" fontId="11" fillId="0" borderId="2" xfId="1" applyNumberFormat="1" applyFont="1" applyBorder="1" applyAlignment="1">
      <alignment horizontal="center"/>
    </xf>
    <xf numFmtId="165" fontId="11" fillId="0" borderId="22" xfId="3" applyNumberFormat="1" applyFont="1" applyBorder="1"/>
    <xf numFmtId="0" fontId="8" fillId="10" borderId="23" xfId="0" applyFont="1" applyFill="1" applyBorder="1" applyAlignment="1">
      <alignment horizontal="left"/>
    </xf>
    <xf numFmtId="165" fontId="8" fillId="10" borderId="24" xfId="3" applyNumberFormat="1" applyFont="1" applyFill="1" applyBorder="1"/>
    <xf numFmtId="10" fontId="8" fillId="10" borderId="24" xfId="1" applyNumberFormat="1" applyFont="1" applyFill="1" applyBorder="1" applyAlignment="1">
      <alignment horizontal="center"/>
    </xf>
    <xf numFmtId="165" fontId="8" fillId="11" borderId="24" xfId="3" applyNumberFormat="1" applyFont="1" applyFill="1" applyBorder="1"/>
    <xf numFmtId="165" fontId="8" fillId="12" borderId="24" xfId="3" applyNumberFormat="1" applyFont="1" applyFill="1" applyBorder="1"/>
    <xf numFmtId="3" fontId="0" fillId="2" borderId="0" xfId="0" applyNumberFormat="1" applyFill="1"/>
    <xf numFmtId="167" fontId="8" fillId="10" borderId="24" xfId="2" applyNumberFormat="1" applyFont="1" applyFill="1" applyBorder="1" applyAlignment="1">
      <alignment horizontal="center"/>
    </xf>
    <xf numFmtId="167" fontId="8" fillId="11" borderId="24" xfId="2" applyNumberFormat="1" applyFont="1" applyFill="1" applyBorder="1" applyAlignment="1">
      <alignment horizontal="center"/>
    </xf>
    <xf numFmtId="167" fontId="8" fillId="12" borderId="24" xfId="2" applyNumberFormat="1" applyFont="1" applyFill="1" applyBorder="1" applyAlignment="1">
      <alignment horizontal="center"/>
    </xf>
    <xf numFmtId="0" fontId="1" fillId="2" borderId="0" xfId="0" applyFont="1" applyFill="1" applyAlignment="1">
      <alignment horizontal="center"/>
    </xf>
    <xf numFmtId="9" fontId="1" fillId="2" borderId="0" xfId="1" applyFont="1" applyFill="1" applyAlignment="1">
      <alignment horizontal="center"/>
    </xf>
    <xf numFmtId="10" fontId="1" fillId="2" borderId="0" xfId="1" applyNumberFormat="1" applyFont="1" applyFill="1" applyAlignment="1">
      <alignment horizontal="center"/>
    </xf>
    <xf numFmtId="165" fontId="1" fillId="2" borderId="0" xfId="0" applyNumberFormat="1" applyFont="1" applyFill="1" applyAlignment="1">
      <alignment horizontal="center"/>
    </xf>
    <xf numFmtId="166" fontId="0" fillId="2" borderId="0" xfId="1" applyNumberFormat="1" applyFont="1" applyFill="1"/>
    <xf numFmtId="0" fontId="1" fillId="2" borderId="0" xfId="0" applyFont="1" applyFill="1"/>
    <xf numFmtId="0" fontId="0" fillId="2" borderId="0" xfId="0" applyFill="1" applyAlignment="1">
      <alignment horizontal="left" indent="2"/>
    </xf>
    <xf numFmtId="169" fontId="0" fillId="2" borderId="0" xfId="0" applyNumberFormat="1" applyFill="1"/>
    <xf numFmtId="9" fontId="0" fillId="2" borderId="0" xfId="0" applyNumberFormat="1" applyFill="1"/>
    <xf numFmtId="168" fontId="1" fillId="2" borderId="0" xfId="2" applyNumberFormat="1" applyFont="1" applyFill="1"/>
    <xf numFmtId="0" fontId="0" fillId="2" borderId="0" xfId="0" applyFill="1" applyAlignment="1">
      <alignment horizontal="center"/>
    </xf>
    <xf numFmtId="165" fontId="9" fillId="14" borderId="2" xfId="4" applyNumberFormat="1" applyFont="1" applyFill="1" applyBorder="1"/>
    <xf numFmtId="165" fontId="9" fillId="14" borderId="22" xfId="4" applyNumberFormat="1" applyFont="1" applyFill="1" applyBorder="1"/>
    <xf numFmtId="165" fontId="6" fillId="0" borderId="2" xfId="4" applyNumberFormat="1" applyFont="1" applyBorder="1"/>
    <xf numFmtId="165" fontId="6" fillId="0" borderId="22" xfId="4" applyNumberFormat="1" applyFont="1" applyBorder="1"/>
    <xf numFmtId="165" fontId="13" fillId="0" borderId="22" xfId="4" applyNumberFormat="1" applyFont="1" applyBorder="1"/>
    <xf numFmtId="165" fontId="14" fillId="0" borderId="22" xfId="4" applyNumberFormat="1" applyFont="1" applyBorder="1"/>
    <xf numFmtId="165" fontId="11" fillId="14" borderId="22" xfId="4" applyNumberFormat="1" applyFont="1" applyFill="1" applyBorder="1"/>
    <xf numFmtId="0" fontId="12" fillId="2" borderId="0" xfId="0" applyFont="1" applyFill="1"/>
    <xf numFmtId="0" fontId="15" fillId="0" borderId="21" xfId="0" applyFont="1" applyBorder="1" applyAlignment="1">
      <alignment horizontal="left" indent="2"/>
    </xf>
    <xf numFmtId="168" fontId="0" fillId="2" borderId="0" xfId="4" applyNumberFormat="1" applyFont="1" applyFill="1"/>
    <xf numFmtId="170" fontId="0" fillId="0" borderId="0" xfId="2" applyNumberFormat="1" applyFont="1" applyFill="1" applyBorder="1"/>
    <xf numFmtId="165" fontId="14" fillId="0" borderId="2" xfId="4" applyNumberFormat="1" applyFont="1" applyBorder="1"/>
    <xf numFmtId="165" fontId="13" fillId="0" borderId="2" xfId="4" applyNumberFormat="1" applyFont="1" applyBorder="1"/>
    <xf numFmtId="165" fontId="8" fillId="10" borderId="2" xfId="4" applyNumberFormat="1" applyFont="1" applyFill="1" applyBorder="1"/>
    <xf numFmtId="165" fontId="8" fillId="11" borderId="2" xfId="4" applyNumberFormat="1" applyFont="1" applyFill="1" applyBorder="1"/>
    <xf numFmtId="10" fontId="8" fillId="11" borderId="2" xfId="1" applyNumberFormat="1" applyFont="1" applyFill="1" applyBorder="1" applyAlignment="1">
      <alignment horizontal="center"/>
    </xf>
    <xf numFmtId="165" fontId="8" fillId="12" borderId="2" xfId="4" applyNumberFormat="1" applyFont="1" applyFill="1" applyBorder="1"/>
    <xf numFmtId="9" fontId="8" fillId="12" borderId="2" xfId="1" applyFont="1" applyFill="1" applyBorder="1" applyAlignment="1">
      <alignment horizontal="center"/>
    </xf>
    <xf numFmtId="165" fontId="8" fillId="13" borderId="2" xfId="4" applyNumberFormat="1" applyFont="1" applyFill="1" applyBorder="1"/>
    <xf numFmtId="10" fontId="8" fillId="13" borderId="2" xfId="1" applyNumberFormat="1" applyFont="1" applyFill="1" applyBorder="1" applyAlignment="1">
      <alignment horizontal="center"/>
    </xf>
    <xf numFmtId="165" fontId="11" fillId="0" borderId="2" xfId="4" applyNumberFormat="1" applyFont="1" applyBorder="1"/>
    <xf numFmtId="165" fontId="11" fillId="0" borderId="22" xfId="4" applyNumberFormat="1" applyFont="1" applyBorder="1"/>
    <xf numFmtId="165" fontId="8" fillId="10" borderId="24" xfId="4" applyNumberFormat="1" applyFont="1" applyFill="1" applyBorder="1"/>
    <xf numFmtId="165" fontId="8" fillId="11" borderId="24" xfId="4" applyNumberFormat="1" applyFont="1" applyFill="1" applyBorder="1"/>
    <xf numFmtId="10" fontId="8" fillId="11" borderId="24" xfId="1" applyNumberFormat="1" applyFont="1" applyFill="1" applyBorder="1" applyAlignment="1">
      <alignment horizontal="center"/>
    </xf>
    <xf numFmtId="165" fontId="8" fillId="12" borderId="24" xfId="4" applyNumberFormat="1" applyFont="1" applyFill="1" applyBorder="1"/>
    <xf numFmtId="9" fontId="8" fillId="12" borderId="24" xfId="1" applyFont="1" applyFill="1" applyBorder="1" applyAlignment="1">
      <alignment horizontal="center"/>
    </xf>
    <xf numFmtId="165" fontId="8" fillId="13" borderId="24" xfId="4" applyNumberFormat="1" applyFont="1" applyFill="1" applyBorder="1"/>
    <xf numFmtId="10" fontId="8" fillId="13" borderId="24" xfId="1" applyNumberFormat="1" applyFont="1" applyFill="1" applyBorder="1" applyAlignment="1">
      <alignment horizontal="center"/>
    </xf>
    <xf numFmtId="167" fontId="8" fillId="13" borderId="24" xfId="2" applyNumberFormat="1" applyFont="1" applyFill="1" applyBorder="1" applyAlignment="1">
      <alignment horizontal="center"/>
    </xf>
    <xf numFmtId="0" fontId="8" fillId="0" borderId="23" xfId="0" applyFont="1" applyBorder="1" applyAlignment="1">
      <alignment horizontal="left"/>
    </xf>
    <xf numFmtId="165" fontId="8" fillId="0" borderId="24" xfId="4" applyNumberFormat="1" applyFont="1" applyFill="1" applyBorder="1"/>
    <xf numFmtId="10" fontId="8" fillId="0" borderId="24" xfId="1" applyNumberFormat="1" applyFont="1" applyFill="1" applyBorder="1" applyAlignment="1">
      <alignment horizontal="center"/>
    </xf>
    <xf numFmtId="9" fontId="8" fillId="0" borderId="24" xfId="1" applyFont="1" applyFill="1" applyBorder="1" applyAlignment="1">
      <alignment horizontal="center"/>
    </xf>
    <xf numFmtId="0" fontId="1" fillId="0" borderId="0" xfId="0" applyFont="1" applyAlignment="1">
      <alignment horizontal="center"/>
    </xf>
    <xf numFmtId="165" fontId="15" fillId="2" borderId="2" xfId="0" applyNumberFormat="1" applyFont="1" applyFill="1" applyBorder="1" applyAlignment="1">
      <alignment vertical="center"/>
    </xf>
    <xf numFmtId="165" fontId="16" fillId="14" borderId="22" xfId="4" applyNumberFormat="1" applyFont="1" applyFill="1" applyBorder="1"/>
    <xf numFmtId="165" fontId="6" fillId="0" borderId="26" xfId="4" applyNumberFormat="1" applyFont="1" applyBorder="1"/>
    <xf numFmtId="165" fontId="6" fillId="0" borderId="0" xfId="4" applyNumberFormat="1" applyFont="1" applyBorder="1"/>
    <xf numFmtId="10" fontId="6" fillId="0" borderId="21" xfId="1" applyNumberFormat="1" applyFont="1" applyBorder="1" applyAlignment="1">
      <alignment horizontal="center"/>
    </xf>
    <xf numFmtId="165" fontId="6" fillId="0" borderId="25" xfId="4" applyNumberFormat="1" applyFont="1" applyBorder="1"/>
    <xf numFmtId="0" fontId="1" fillId="2" borderId="0" xfId="0" applyFont="1" applyFill="1" applyAlignment="1">
      <alignment horizontal="left"/>
    </xf>
    <xf numFmtId="165" fontId="0" fillId="2" borderId="0" xfId="0" applyNumberFormat="1" applyFill="1" applyAlignment="1">
      <alignment vertical="center"/>
    </xf>
    <xf numFmtId="165" fontId="8" fillId="10" borderId="23" xfId="0" applyNumberFormat="1" applyFont="1" applyFill="1" applyBorder="1" applyAlignment="1">
      <alignment horizontal="left"/>
    </xf>
    <xf numFmtId="0" fontId="8" fillId="0" borderId="0" xfId="0" applyFont="1" applyAlignment="1">
      <alignment horizontal="left"/>
    </xf>
    <xf numFmtId="165" fontId="8" fillId="0" borderId="0" xfId="0" applyNumberFormat="1" applyFont="1" applyAlignment="1">
      <alignment horizontal="left"/>
    </xf>
    <xf numFmtId="3" fontId="0" fillId="0" borderId="0" xfId="0" applyNumberFormat="1"/>
    <xf numFmtId="2" fontId="0" fillId="2" borderId="0" xfId="0" applyNumberFormat="1" applyFill="1"/>
    <xf numFmtId="165" fontId="9" fillId="14" borderId="27" xfId="4" applyNumberFormat="1" applyFont="1" applyFill="1" applyBorder="1"/>
    <xf numFmtId="0" fontId="6" fillId="14" borderId="21" xfId="0" applyFont="1" applyFill="1" applyBorder="1" applyAlignment="1">
      <alignment horizontal="left" indent="1"/>
    </xf>
    <xf numFmtId="0" fontId="6" fillId="14" borderId="27" xfId="0" applyFont="1" applyFill="1" applyBorder="1" applyAlignment="1">
      <alignment horizontal="left" indent="1"/>
    </xf>
    <xf numFmtId="165" fontId="9" fillId="0" borderId="27" xfId="4" applyNumberFormat="1" applyFont="1" applyFill="1" applyBorder="1"/>
    <xf numFmtId="171" fontId="8" fillId="10" borderId="23" xfId="5" applyNumberFormat="1" applyFont="1" applyFill="1" applyBorder="1" applyAlignment="1">
      <alignment horizontal="left"/>
    </xf>
    <xf numFmtId="165" fontId="8" fillId="0" borderId="0" xfId="4" applyNumberFormat="1" applyFont="1" applyFill="1" applyBorder="1"/>
    <xf numFmtId="10" fontId="8" fillId="0" borderId="0" xfId="1" applyNumberFormat="1" applyFont="1" applyFill="1" applyBorder="1" applyAlignment="1">
      <alignment horizontal="center"/>
    </xf>
    <xf numFmtId="9" fontId="8" fillId="0" borderId="0" xfId="1" applyFont="1" applyFill="1" applyBorder="1" applyAlignment="1">
      <alignment horizontal="center"/>
    </xf>
    <xf numFmtId="0" fontId="17" fillId="0" borderId="21" xfId="0" applyFont="1" applyBorder="1" applyAlignment="1">
      <alignment horizontal="left" indent="2"/>
    </xf>
    <xf numFmtId="165" fontId="16" fillId="0" borderId="2" xfId="4" applyNumberFormat="1" applyFont="1" applyBorder="1"/>
    <xf numFmtId="10" fontId="16" fillId="0" borderId="2" xfId="1" applyNumberFormat="1" applyFont="1" applyBorder="1" applyAlignment="1">
      <alignment horizontal="center"/>
    </xf>
    <xf numFmtId="0" fontId="8" fillId="10" borderId="0" xfId="0" applyFont="1" applyFill="1" applyAlignment="1">
      <alignment horizontal="center"/>
    </xf>
    <xf numFmtId="170" fontId="15" fillId="0" borderId="0" xfId="2" applyNumberFormat="1" applyFont="1" applyFill="1"/>
    <xf numFmtId="165" fontId="0" fillId="0" borderId="0" xfId="0" applyNumberFormat="1"/>
    <xf numFmtId="0" fontId="8" fillId="10" borderId="0" xfId="0" applyFont="1" applyFill="1"/>
    <xf numFmtId="4" fontId="0" fillId="2" borderId="0" xfId="0" applyNumberFormat="1" applyFill="1"/>
    <xf numFmtId="165" fontId="6" fillId="0" borderId="22" xfId="3" applyNumberFormat="1" applyFont="1" applyBorder="1"/>
    <xf numFmtId="165" fontId="6" fillId="3" borderId="2" xfId="3" applyNumberFormat="1" applyFont="1" applyFill="1" applyBorder="1"/>
    <xf numFmtId="165" fontId="8" fillId="13" borderId="2" xfId="3" applyNumberFormat="1" applyFont="1" applyFill="1" applyBorder="1"/>
    <xf numFmtId="165" fontId="8" fillId="13" borderId="24" xfId="3" applyNumberFormat="1" applyFont="1" applyFill="1" applyBorder="1"/>
    <xf numFmtId="0" fontId="0" fillId="2" borderId="28" xfId="0" applyFill="1" applyBorder="1" applyAlignment="1">
      <alignment vertical="center"/>
    </xf>
    <xf numFmtId="0" fontId="0" fillId="2" borderId="26" xfId="0" applyFill="1" applyBorder="1" applyAlignment="1">
      <alignment horizontal="center" vertical="center"/>
    </xf>
    <xf numFmtId="14" fontId="3" fillId="4" borderId="26" xfId="0" applyNumberFormat="1" applyFont="1" applyFill="1" applyBorder="1" applyAlignment="1">
      <alignment horizontal="center" vertical="center"/>
    </xf>
    <xf numFmtId="165" fontId="0" fillId="2" borderId="26" xfId="0" applyNumberFormat="1" applyFill="1" applyBorder="1" applyAlignment="1">
      <alignment vertical="center"/>
    </xf>
    <xf numFmtId="165" fontId="4" fillId="2" borderId="26" xfId="0" applyNumberFormat="1" applyFont="1" applyFill="1" applyBorder="1" applyAlignment="1">
      <alignment vertical="center"/>
    </xf>
    <xf numFmtId="9" fontId="4" fillId="2" borderId="26" xfId="1" applyFont="1" applyFill="1" applyBorder="1" applyAlignment="1">
      <alignment vertical="center"/>
    </xf>
    <xf numFmtId="0" fontId="5" fillId="0" borderId="29" xfId="0" applyFont="1" applyBorder="1" applyAlignment="1">
      <alignment vertical="center"/>
    </xf>
    <xf numFmtId="0" fontId="1" fillId="0" borderId="0" xfId="0" applyFont="1" applyAlignment="1">
      <alignment horizontal="center" vertical="center"/>
    </xf>
    <xf numFmtId="0" fontId="0" fillId="15" borderId="0" xfId="0" applyFill="1" applyAlignment="1">
      <alignment horizontal="center" vertical="center"/>
    </xf>
    <xf numFmtId="0" fontId="0" fillId="0" borderId="2" xfId="0" applyBorder="1" applyAlignment="1">
      <alignment horizontal="left" vertical="center" indent="3"/>
    </xf>
    <xf numFmtId="0" fontId="0" fillId="0" borderId="2" xfId="0" applyBorder="1" applyAlignment="1">
      <alignment horizontal="right" vertical="center"/>
    </xf>
    <xf numFmtId="0" fontId="0" fillId="0" borderId="6" xfId="0" applyBorder="1" applyAlignment="1">
      <alignment vertical="center"/>
    </xf>
    <xf numFmtId="0" fontId="0" fillId="0" borderId="2" xfId="0" applyBorder="1" applyAlignment="1">
      <alignment horizontal="center" vertical="center"/>
    </xf>
    <xf numFmtId="14" fontId="0" fillId="0" borderId="2" xfId="0" applyNumberFormat="1" applyBorder="1" applyAlignment="1">
      <alignment horizontal="center" vertical="center"/>
    </xf>
    <xf numFmtId="165" fontId="4" fillId="0" borderId="2" xfId="0" applyNumberFormat="1" applyFont="1" applyBorder="1" applyAlignment="1">
      <alignment vertical="center"/>
    </xf>
    <xf numFmtId="9" fontId="4" fillId="0" borderId="2" xfId="1" applyFont="1" applyFill="1" applyBorder="1" applyAlignment="1">
      <alignment vertical="center"/>
    </xf>
    <xf numFmtId="166" fontId="0" fillId="0" borderId="2" xfId="1" applyNumberFormat="1" applyFont="1" applyFill="1" applyBorder="1" applyAlignment="1">
      <alignment vertical="center"/>
    </xf>
    <xf numFmtId="0" fontId="0" fillId="16" borderId="0" xfId="0" applyFill="1" applyAlignment="1">
      <alignment horizontal="center" vertical="center"/>
    </xf>
    <xf numFmtId="0" fontId="1" fillId="16" borderId="0" xfId="0" applyFont="1" applyFill="1" applyAlignment="1">
      <alignment horizontal="center" vertical="center"/>
    </xf>
    <xf numFmtId="0" fontId="1" fillId="9" borderId="0" xfId="0" applyFont="1" applyFill="1" applyAlignment="1">
      <alignment horizontal="center" vertical="center"/>
    </xf>
    <xf numFmtId="0" fontId="1" fillId="9" borderId="5" xfId="0" applyFont="1" applyFill="1" applyBorder="1" applyAlignment="1">
      <alignment horizontal="center" vertical="center"/>
    </xf>
    <xf numFmtId="0" fontId="1" fillId="9" borderId="7" xfId="0" applyFont="1" applyFill="1" applyBorder="1" applyAlignment="1">
      <alignment horizontal="center" vertical="center"/>
    </xf>
    <xf numFmtId="0" fontId="7" fillId="6" borderId="4" xfId="0" applyFont="1" applyFill="1" applyBorder="1" applyAlignment="1">
      <alignment horizontal="center" vertical="center" wrapText="1"/>
    </xf>
    <xf numFmtId="0" fontId="7" fillId="6" borderId="2" xfId="0" applyFont="1" applyFill="1" applyBorder="1" applyAlignment="1">
      <alignment horizontal="center" vertical="center" wrapText="1"/>
    </xf>
    <xf numFmtId="0" fontId="7" fillId="5" borderId="3" xfId="0" applyFont="1" applyFill="1" applyBorder="1" applyAlignment="1">
      <alignment horizontal="center" vertical="center"/>
    </xf>
    <xf numFmtId="0" fontId="7" fillId="5" borderId="6" xfId="0" applyFont="1" applyFill="1" applyBorder="1" applyAlignment="1">
      <alignment horizontal="center" vertical="center"/>
    </xf>
    <xf numFmtId="0" fontId="7" fillId="5" borderId="4"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4" xfId="0" applyFont="1" applyFill="1" applyBorder="1" applyAlignment="1">
      <alignment horizontal="center" vertical="center" wrapText="1"/>
    </xf>
    <xf numFmtId="0" fontId="7" fillId="5" borderId="2" xfId="0" applyFont="1" applyFill="1" applyBorder="1" applyAlignment="1">
      <alignment horizontal="center" vertical="center" wrapText="1"/>
    </xf>
    <xf numFmtId="0" fontId="1" fillId="8" borderId="4" xfId="0" applyFont="1" applyFill="1" applyBorder="1" applyAlignment="1">
      <alignment horizontal="center" vertical="center" wrapText="1"/>
    </xf>
    <xf numFmtId="0" fontId="1" fillId="8" borderId="2" xfId="0" applyFont="1" applyFill="1" applyBorder="1" applyAlignment="1">
      <alignment horizontal="center" vertical="center" wrapText="1"/>
    </xf>
    <xf numFmtId="0" fontId="1" fillId="9" borderId="4" xfId="0" applyFont="1" applyFill="1" applyBorder="1" applyAlignment="1">
      <alignment horizontal="center" vertical="center"/>
    </xf>
    <xf numFmtId="0" fontId="1" fillId="7" borderId="11" xfId="0" applyFont="1" applyFill="1" applyBorder="1" applyAlignment="1">
      <alignment horizontal="center" vertical="center"/>
    </xf>
    <xf numFmtId="0" fontId="1" fillId="7" borderId="12" xfId="0" applyFont="1" applyFill="1" applyBorder="1" applyAlignment="1">
      <alignment horizontal="center" vertical="center"/>
    </xf>
    <xf numFmtId="0" fontId="1" fillId="7" borderId="16" xfId="0" applyFont="1" applyFill="1" applyBorder="1" applyAlignment="1">
      <alignment horizontal="center" vertical="center"/>
    </xf>
    <xf numFmtId="0" fontId="1" fillId="7" borderId="17" xfId="0" applyFont="1" applyFill="1" applyBorder="1" applyAlignment="1">
      <alignment horizontal="center" vertical="center"/>
    </xf>
    <xf numFmtId="0" fontId="1" fillId="7" borderId="18" xfId="0" applyFont="1" applyFill="1" applyBorder="1" applyAlignment="1">
      <alignment horizontal="center" vertical="center"/>
    </xf>
  </cellXfs>
  <cellStyles count="6">
    <cellStyle name="Currency 2" xfId="4" xr:uid="{780AF9EF-B0C5-47BF-890A-93F7A4C6DA80}"/>
    <cellStyle name="Millares" xfId="2" builtinId="3"/>
    <cellStyle name="Moneda" xfId="5" builtinId="4"/>
    <cellStyle name="Moneda 2" xfId="3" xr:uid="{C3B82536-9DDA-468B-A1B6-6EC4F19C65CE}"/>
    <cellStyle name="Normal" xfId="0" builtinId="0"/>
    <cellStyle name="Porcentaje" xfId="1" builtin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ecopetrol-my.sharepoint.com/personal/genaro_prieto_ecopetrol_com_co/Documents/Archivos%20de%20chat%20de%20Microsoft%20Teams/20240515%20S&#237;smica%20Yond&#243;%20-%20Resumen%20de%20costos.xlsx" TargetMode="External"/><Relationship Id="rId1" Type="http://schemas.openxmlformats.org/officeDocument/2006/relationships/externalLinkPath" Target="https://ecopetrol-my.sharepoint.com/personal/genaro_prieto_ecopetrol_com_co/Documents/Archivos%20de%20chat%20de%20Microsoft%20Teams/20240515%20S&#237;smica%20Yond&#243;%20-%20Resumen%20de%20costo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FE presentado PDI"/>
      <sheetName val="AFE 15MAYO2024"/>
      <sheetName val="AFE 20MAYO2024 Viabilidad"/>
      <sheetName val="AFE 20MAYO2024 Ejecución"/>
      <sheetName val="AFE 20MAYO2024 Ejecución (2)"/>
      <sheetName val="Laboral"/>
      <sheetName val="Social"/>
      <sheetName val="Seguridad F"/>
      <sheetName val="Prospedidad"/>
      <sheetName val="Proyectos"/>
      <sheetName val="Ambiental"/>
    </sheetNames>
    <sheetDataSet>
      <sheetData sheetId="0"/>
      <sheetData sheetId="1"/>
      <sheetData sheetId="2"/>
      <sheetData sheetId="3"/>
      <sheetData sheetId="4"/>
      <sheetData sheetId="5">
        <row r="12">
          <cell r="K12">
            <v>19718329</v>
          </cell>
        </row>
      </sheetData>
      <sheetData sheetId="6">
        <row r="20">
          <cell r="K20">
            <v>65088870</v>
          </cell>
        </row>
      </sheetData>
      <sheetData sheetId="7"/>
      <sheetData sheetId="8"/>
      <sheetData sheetId="9"/>
      <sheetData sheetId="10"/>
    </sheetDataSet>
  </externalBook>
</externalLink>
</file>

<file path=xl/persons/person.xml><?xml version="1.0" encoding="utf-8"?>
<personList xmlns="http://schemas.microsoft.com/office/spreadsheetml/2018/threadedcomments" xmlns:x="http://schemas.openxmlformats.org/spreadsheetml/2006/main">
  <person displayName="Elizabeth Sorani Quintero Quintero (Estudios Técnicos S.A.S)" id="{0AEE9D13-FEFE-4AC4-8493-42FE12171BC8}" userId="S::elizabethso.quintero@ecopetrol.com.co::90c7d87d-d196-4d3c-b5b4-dbb5f7a96a49"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12" dT="2025-06-05T21:00:52.12" personId="{0AEE9D13-FEFE-4AC4-8493-42FE12171BC8}" id="{DA8AE6B9-2391-4CD3-9A76-9F1CDE9433D6}">
    <text xml:space="preserve">Fin Registro
</text>
  </threadedComment>
  <threadedComment ref="F13" dT="2025-06-05T21:01:49.41" personId="{0AEE9D13-FEFE-4AC4-8493-42FE12171BC8}" id="{D9BE827C-6511-40A0-B63E-EBBABA420728}">
    <text xml:space="preserve">Fin Registro
</text>
  </threadedComment>
  <threadedComment ref="F14" dT="2025-06-05T21:01:49.41" personId="{0AEE9D13-FEFE-4AC4-8493-42FE12171BC8}" id="{DB78E9AB-D485-4697-BB43-484017B1E2D1}">
    <text xml:space="preserve">Fin Registro
</text>
  </threadedComment>
</ThreadedComment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1AF7C-61D6-402B-A735-94E9F4B6F4CD}">
  <dimension ref="A2:AK536"/>
  <sheetViews>
    <sheetView zoomScale="110" zoomScaleNormal="110" workbookViewId="0">
      <pane xSplit="7" ySplit="2" topLeftCell="H3" activePane="bottomRight" state="frozen"/>
      <selection pane="topRight" activeCell="N22" sqref="N22"/>
      <selection pane="bottomLeft" activeCell="N22" sqref="N22"/>
      <selection pane="bottomRight" activeCell="D1" sqref="D1"/>
    </sheetView>
  </sheetViews>
  <sheetFormatPr baseColWidth="10" defaultColWidth="11.42578125" defaultRowHeight="15" outlineLevelRow="1" x14ac:dyDescent="0.25"/>
  <cols>
    <col min="1" max="1" width="3.42578125" style="52" customWidth="1"/>
    <col min="2" max="2" width="41.28515625" customWidth="1"/>
    <col min="3" max="7" width="13.85546875" customWidth="1"/>
    <col min="8" max="11" width="13.85546875" hidden="1" customWidth="1"/>
    <col min="12" max="12" width="18.5703125" style="52" hidden="1" customWidth="1"/>
    <col min="13" max="13" width="13.85546875" hidden="1" customWidth="1"/>
    <col min="14" max="14" width="70.42578125" customWidth="1"/>
    <col min="15" max="15" width="17.85546875" style="52" bestFit="1" customWidth="1"/>
    <col min="16" max="16" width="15.5703125" style="52" bestFit="1" customWidth="1"/>
    <col min="17" max="37" width="11.42578125" style="52"/>
  </cols>
  <sheetData>
    <row r="2" spans="1:37" s="51" customFormat="1" x14ac:dyDescent="0.25">
      <c r="A2" s="31"/>
      <c r="B2" s="46" t="s">
        <v>0</v>
      </c>
      <c r="C2" s="47" t="s">
        <v>1</v>
      </c>
      <c r="D2" s="47" t="s">
        <v>2</v>
      </c>
      <c r="E2" s="47" t="s">
        <v>3</v>
      </c>
      <c r="F2" s="47" t="s">
        <v>4</v>
      </c>
      <c r="G2" s="47" t="s">
        <v>5</v>
      </c>
      <c r="H2" s="48" t="s">
        <v>6</v>
      </c>
      <c r="I2" s="48" t="s">
        <v>5</v>
      </c>
      <c r="J2" s="49" t="s">
        <v>7</v>
      </c>
      <c r="K2" s="49" t="s">
        <v>5</v>
      </c>
      <c r="L2" s="50" t="s">
        <v>8</v>
      </c>
      <c r="M2" s="50" t="s">
        <v>5</v>
      </c>
      <c r="N2" s="47" t="s">
        <v>9</v>
      </c>
      <c r="O2" s="31"/>
      <c r="P2" s="31"/>
      <c r="Q2" s="31"/>
      <c r="R2" s="31"/>
      <c r="S2" s="31"/>
      <c r="T2" s="31"/>
      <c r="U2" s="31"/>
      <c r="V2" s="31"/>
      <c r="W2" s="31"/>
      <c r="X2" s="31"/>
      <c r="Y2" s="31"/>
      <c r="Z2" s="31"/>
      <c r="AA2" s="31"/>
      <c r="AB2" s="31"/>
      <c r="AC2" s="31"/>
      <c r="AD2" s="31"/>
      <c r="AE2" s="31"/>
      <c r="AF2" s="31"/>
      <c r="AG2" s="31"/>
      <c r="AH2" s="31"/>
      <c r="AI2" s="31"/>
      <c r="AJ2" s="31"/>
      <c r="AK2" s="31"/>
    </row>
    <row r="3" spans="1:37" x14ac:dyDescent="0.25">
      <c r="B3" s="53" t="s">
        <v>10</v>
      </c>
      <c r="C3" s="93">
        <f>SUM(C4:C7)</f>
        <v>0</v>
      </c>
      <c r="D3" s="93">
        <f t="shared" ref="D3:F3" si="0">SUM(D4:D7)</f>
        <v>1063135</v>
      </c>
      <c r="E3" s="93">
        <f t="shared" si="0"/>
        <v>18586079</v>
      </c>
      <c r="F3" s="93">
        <f t="shared" si="0"/>
        <v>12272964.52592683</v>
      </c>
      <c r="G3" s="55">
        <f>+F3/$F$25</f>
        <v>0.88458789730397724</v>
      </c>
      <c r="H3" s="93">
        <f>SUM(H4:H7)</f>
        <v>21268425</v>
      </c>
      <c r="I3" s="55">
        <f>+H3/$H$25</f>
        <v>0.89144352033517738</v>
      </c>
      <c r="J3" s="93">
        <f>SUM(J4:J7)</f>
        <v>8232672.7699349588</v>
      </c>
      <c r="K3" s="55">
        <f t="shared" ref="K3:K25" si="1">+J3/$J$25</f>
        <v>0.85974571788076959</v>
      </c>
      <c r="L3" s="93">
        <f>SUM(L4:L7)</f>
        <v>22059967</v>
      </c>
      <c r="M3" s="55">
        <f t="shared" ref="M3:M25" si="2">+L3/$L$25</f>
        <v>0.92372669256315576</v>
      </c>
      <c r="N3" s="94"/>
    </row>
    <row r="4" spans="1:37" outlineLevel="1" x14ac:dyDescent="0.25">
      <c r="B4" s="57" t="s">
        <v>11</v>
      </c>
      <c r="C4" s="95" t="s">
        <v>12</v>
      </c>
      <c r="D4" s="95">
        <v>901557</v>
      </c>
      <c r="E4" s="95">
        <v>17682881</v>
      </c>
      <c r="F4" s="95">
        <v>11614706.733658537</v>
      </c>
      <c r="G4" s="59">
        <f t="shared" ref="G4:G27" si="3">+F4/$F$25</f>
        <v>0.83714321716035933</v>
      </c>
      <c r="H4" s="95">
        <v>20282545</v>
      </c>
      <c r="I4" s="59">
        <f t="shared" ref="I4:I25" si="4">+H4/$H$25</f>
        <v>0.85012140373143052</v>
      </c>
      <c r="J4" s="95">
        <v>7869677.3506395658</v>
      </c>
      <c r="K4" s="59">
        <f t="shared" si="1"/>
        <v>0.82183776671219488</v>
      </c>
      <c r="L4" s="95">
        <v>21250042</v>
      </c>
      <c r="M4" s="59">
        <f t="shared" si="2"/>
        <v>0.88981234711222124</v>
      </c>
      <c r="N4" s="96"/>
    </row>
    <row r="5" spans="1:37" outlineLevel="1" x14ac:dyDescent="0.25">
      <c r="B5" s="57" t="s">
        <v>13</v>
      </c>
      <c r="C5" s="95" t="s">
        <v>12</v>
      </c>
      <c r="D5" s="95">
        <v>38162</v>
      </c>
      <c r="E5" s="95">
        <v>172598</v>
      </c>
      <c r="F5" s="95">
        <v>198171.41024390241</v>
      </c>
      <c r="G5" s="59">
        <f t="shared" si="3"/>
        <v>1.4283430113652934E-2</v>
      </c>
      <c r="H5" s="95">
        <v>50489</v>
      </c>
      <c r="I5" s="59">
        <f t="shared" si="4"/>
        <v>2.1161929902286029E-3</v>
      </c>
      <c r="J5" s="95">
        <v>43742.724444444444</v>
      </c>
      <c r="K5" s="59">
        <f t="shared" si="1"/>
        <v>4.5680936289475152E-3</v>
      </c>
      <c r="L5" s="95">
        <v>209140</v>
      </c>
      <c r="M5" s="59">
        <f t="shared" si="2"/>
        <v>8.7574111277074155E-3</v>
      </c>
      <c r="N5" s="97" t="s">
        <v>14</v>
      </c>
    </row>
    <row r="6" spans="1:37" outlineLevel="1" x14ac:dyDescent="0.25">
      <c r="B6" s="57" t="s">
        <v>15</v>
      </c>
      <c r="C6" s="95" t="s">
        <v>12</v>
      </c>
      <c r="D6" s="95">
        <v>123416</v>
      </c>
      <c r="E6" s="95">
        <v>301481</v>
      </c>
      <c r="F6" s="95">
        <v>276614.38202439027</v>
      </c>
      <c r="G6" s="59">
        <f t="shared" si="3"/>
        <v>1.9937296652498552E-2</v>
      </c>
      <c r="H6" s="95">
        <v>378390</v>
      </c>
      <c r="I6" s="59">
        <f t="shared" si="4"/>
        <v>1.585981630796017E-2</v>
      </c>
      <c r="J6" s="95">
        <v>160106.22168021681</v>
      </c>
      <c r="K6" s="59">
        <f t="shared" si="1"/>
        <v>1.6720042487091726E-2</v>
      </c>
      <c r="L6" s="95">
        <v>317396</v>
      </c>
      <c r="M6" s="59">
        <f t="shared" si="2"/>
        <v>1.3290462189393818E-2</v>
      </c>
      <c r="N6" s="98"/>
    </row>
    <row r="7" spans="1:37" outlineLevel="1" x14ac:dyDescent="0.25">
      <c r="B7" s="57" t="s">
        <v>16</v>
      </c>
      <c r="C7" s="95" t="s">
        <v>12</v>
      </c>
      <c r="D7" s="95" t="s">
        <v>17</v>
      </c>
      <c r="E7" s="95">
        <v>429119</v>
      </c>
      <c r="F7" s="95">
        <v>183471.99999999997</v>
      </c>
      <c r="G7" s="59">
        <f t="shared" si="3"/>
        <v>1.322395337746639E-2</v>
      </c>
      <c r="H7" s="95">
        <v>557001</v>
      </c>
      <c r="I7" s="59">
        <f t="shared" si="4"/>
        <v>2.3346107305558084E-2</v>
      </c>
      <c r="J7" s="95">
        <v>159146.47317073171</v>
      </c>
      <c r="K7" s="59">
        <f t="shared" si="1"/>
        <v>1.6619815052535403E-2</v>
      </c>
      <c r="L7" s="95">
        <v>283389</v>
      </c>
      <c r="M7" s="59">
        <f t="shared" si="2"/>
        <v>1.1866472133833208E-2</v>
      </c>
      <c r="N7" s="98"/>
    </row>
    <row r="8" spans="1:37" x14ac:dyDescent="0.25">
      <c r="B8" s="53" t="s">
        <v>18</v>
      </c>
      <c r="C8" s="93">
        <f>SUM(C9:C14)</f>
        <v>0</v>
      </c>
      <c r="D8" s="93">
        <f t="shared" ref="D8:F8" si="5">SUM(D9:D14)</f>
        <v>366009</v>
      </c>
      <c r="E8" s="93">
        <f t="shared" si="5"/>
        <v>747556</v>
      </c>
      <c r="F8" s="93">
        <f t="shared" si="5"/>
        <v>559930.75531382125</v>
      </c>
      <c r="G8" s="55">
        <f t="shared" si="3"/>
        <v>4.0357646959097375E-2</v>
      </c>
      <c r="H8" s="93">
        <f>SUM(H9:H14)</f>
        <v>1217567</v>
      </c>
      <c r="I8" s="55">
        <f t="shared" si="4"/>
        <v>5.1033031958122942E-2</v>
      </c>
      <c r="J8" s="93">
        <f>SUM(J9:J14)</f>
        <v>396381.26421680232</v>
      </c>
      <c r="K8" s="55">
        <f t="shared" si="1"/>
        <v>4.1394466181516168E-2</v>
      </c>
      <c r="L8" s="93">
        <f>SUM(L9:L14)</f>
        <v>617266</v>
      </c>
      <c r="M8" s="55">
        <f t="shared" si="2"/>
        <v>2.584705047889187E-2</v>
      </c>
      <c r="N8" s="99"/>
    </row>
    <row r="9" spans="1:37" outlineLevel="1" x14ac:dyDescent="0.25">
      <c r="B9" s="57" t="s">
        <v>19</v>
      </c>
      <c r="C9" s="95"/>
      <c r="D9" s="95">
        <v>188480</v>
      </c>
      <c r="E9" s="95">
        <v>188480</v>
      </c>
      <c r="F9" s="95"/>
      <c r="G9" s="59">
        <f t="shared" si="3"/>
        <v>0</v>
      </c>
      <c r="H9" s="95">
        <v>255996</v>
      </c>
      <c r="I9" s="59">
        <f t="shared" si="4"/>
        <v>1.0729801357257252E-2</v>
      </c>
      <c r="J9" s="95">
        <v>0</v>
      </c>
      <c r="K9" s="59">
        <f t="shared" si="1"/>
        <v>0</v>
      </c>
      <c r="L9" s="95"/>
      <c r="M9" s="59">
        <f t="shared" si="2"/>
        <v>0</v>
      </c>
      <c r="N9" s="98"/>
    </row>
    <row r="10" spans="1:37" outlineLevel="1" x14ac:dyDescent="0.25">
      <c r="B10" s="57" t="s">
        <v>20</v>
      </c>
      <c r="C10" s="95" t="s">
        <v>12</v>
      </c>
      <c r="D10" s="95">
        <v>177529</v>
      </c>
      <c r="E10" s="95">
        <v>187387</v>
      </c>
      <c r="F10" s="95">
        <f>184596.010884553+82065</f>
        <v>266661.01088455296</v>
      </c>
      <c r="G10" s="59">
        <f t="shared" si="3"/>
        <v>1.9219896090549981E-2</v>
      </c>
      <c r="H10" s="95">
        <f>194101+93995</f>
        <v>288096</v>
      </c>
      <c r="I10" s="59">
        <f t="shared" si="4"/>
        <v>1.207523887803085E-2</v>
      </c>
      <c r="J10" s="95">
        <v>220426.21968563701</v>
      </c>
      <c r="K10" s="59">
        <f t="shared" si="1"/>
        <v>2.3019316299737906E-2</v>
      </c>
      <c r="L10" s="95">
        <f>140624+75997+129388</f>
        <v>346009</v>
      </c>
      <c r="M10" s="59">
        <f t="shared" si="2"/>
        <v>1.4488586912531871E-2</v>
      </c>
      <c r="N10" s="97" t="s">
        <v>21</v>
      </c>
      <c r="O10" s="60"/>
      <c r="P10" s="61"/>
    </row>
    <row r="11" spans="1:37" outlineLevel="1" x14ac:dyDescent="0.25">
      <c r="B11" s="57" t="s">
        <v>22</v>
      </c>
      <c r="C11" s="95" t="s">
        <v>12</v>
      </c>
      <c r="D11" s="95" t="s">
        <v>17</v>
      </c>
      <c r="E11" s="95" t="s">
        <v>17</v>
      </c>
      <c r="F11" s="95">
        <v>48780.487804878052</v>
      </c>
      <c r="G11" s="59">
        <f t="shared" si="3"/>
        <v>3.5159092202721679E-3</v>
      </c>
      <c r="H11" s="95">
        <v>88889</v>
      </c>
      <c r="I11" s="59">
        <f t="shared" si="4"/>
        <v>3.7256883421820648E-3</v>
      </c>
      <c r="J11" s="95">
        <v>0</v>
      </c>
      <c r="K11" s="59">
        <f t="shared" si="1"/>
        <v>0</v>
      </c>
      <c r="L11" s="95"/>
      <c r="M11" s="59">
        <f t="shared" si="2"/>
        <v>0</v>
      </c>
      <c r="N11" s="98"/>
    </row>
    <row r="12" spans="1:37" outlineLevel="1" x14ac:dyDescent="0.25">
      <c r="B12" s="57" t="s">
        <v>23</v>
      </c>
      <c r="C12" s="95" t="s">
        <v>12</v>
      </c>
      <c r="D12" s="95" t="s">
        <v>17</v>
      </c>
      <c r="E12" s="95" t="s">
        <v>17</v>
      </c>
      <c r="F12" s="95">
        <v>12195.121951219511</v>
      </c>
      <c r="G12" s="59">
        <f t="shared" si="3"/>
        <v>8.7897730506804187E-4</v>
      </c>
      <c r="H12" s="95"/>
      <c r="I12" s="59">
        <f t="shared" si="4"/>
        <v>0</v>
      </c>
      <c r="J12" s="95">
        <v>0</v>
      </c>
      <c r="K12" s="59">
        <f t="shared" si="1"/>
        <v>0</v>
      </c>
      <c r="L12" s="95"/>
      <c r="M12" s="59">
        <f t="shared" si="2"/>
        <v>0</v>
      </c>
      <c r="N12" s="98"/>
    </row>
    <row r="13" spans="1:37" outlineLevel="1" x14ac:dyDescent="0.25">
      <c r="B13" s="57" t="s">
        <v>24</v>
      </c>
      <c r="C13" s="95" t="s">
        <v>12</v>
      </c>
      <c r="D13" s="95" t="s">
        <v>17</v>
      </c>
      <c r="E13" s="95">
        <v>371689</v>
      </c>
      <c r="F13" s="95">
        <v>232294.13467317072</v>
      </c>
      <c r="G13" s="59">
        <f t="shared" si="3"/>
        <v>1.6742864343207185E-2</v>
      </c>
      <c r="H13" s="95">
        <v>584586</v>
      </c>
      <c r="I13" s="59">
        <f t="shared" si="4"/>
        <v>2.4502303380652776E-2</v>
      </c>
      <c r="J13" s="95">
        <v>175955.04453116533</v>
      </c>
      <c r="K13" s="59">
        <f t="shared" si="1"/>
        <v>1.8375149881778265E-2</v>
      </c>
      <c r="L13" s="95">
        <v>168528</v>
      </c>
      <c r="M13" s="59">
        <f t="shared" si="2"/>
        <v>7.0568470045437289E-3</v>
      </c>
      <c r="N13" s="97" t="s">
        <v>25</v>
      </c>
      <c r="O13" s="62"/>
      <c r="P13" s="62">
        <f>+J13/J4</f>
        <v>2.2358609723290058E-2</v>
      </c>
      <c r="R13" s="62">
        <f>+L13/L4</f>
        <v>7.9307137369422614E-3</v>
      </c>
    </row>
    <row r="14" spans="1:37" outlineLevel="1" x14ac:dyDescent="0.25">
      <c r="B14" s="57" t="s">
        <v>26</v>
      </c>
      <c r="C14" s="95" t="s">
        <v>12</v>
      </c>
      <c r="D14" s="95" t="s">
        <v>17</v>
      </c>
      <c r="E14" s="95" t="s">
        <v>17</v>
      </c>
      <c r="F14" s="95">
        <v>0</v>
      </c>
      <c r="G14" s="59">
        <f t="shared" si="3"/>
        <v>0</v>
      </c>
      <c r="H14" s="95"/>
      <c r="I14" s="59">
        <f t="shared" si="4"/>
        <v>0</v>
      </c>
      <c r="J14" s="95">
        <v>0</v>
      </c>
      <c r="K14" s="59">
        <f t="shared" si="1"/>
        <v>0</v>
      </c>
      <c r="L14" s="95">
        <v>102729</v>
      </c>
      <c r="M14" s="59">
        <f t="shared" si="2"/>
        <v>4.3016165618162717E-3</v>
      </c>
      <c r="N14" s="98"/>
    </row>
    <row r="15" spans="1:37" x14ac:dyDescent="0.25">
      <c r="B15" s="53" t="s">
        <v>27</v>
      </c>
      <c r="C15" s="93">
        <f>SUM(C16:C24)</f>
        <v>0</v>
      </c>
      <c r="D15" s="93">
        <f t="shared" ref="D15:F15" si="6">SUM(D16:D24)</f>
        <v>321412</v>
      </c>
      <c r="E15" s="93">
        <f t="shared" si="6"/>
        <v>986985</v>
      </c>
      <c r="F15" s="93">
        <f t="shared" si="6"/>
        <v>1041321.8127666665</v>
      </c>
      <c r="G15" s="55">
        <f t="shared" si="3"/>
        <v>7.5054455736925443E-2</v>
      </c>
      <c r="H15" s="93">
        <f>SUM(H16:H24)</f>
        <v>1372418</v>
      </c>
      <c r="I15" s="55">
        <f t="shared" si="4"/>
        <v>5.7523447706699649E-2</v>
      </c>
      <c r="J15" s="93">
        <f>SUM(J16:J24)</f>
        <v>946652.59481300809</v>
      </c>
      <c r="K15" s="55">
        <f t="shared" si="1"/>
        <v>9.885981593771434E-2</v>
      </c>
      <c r="L15" s="93">
        <f>SUM(L16:L24)</f>
        <v>1204254</v>
      </c>
      <c r="M15" s="55">
        <f t="shared" si="2"/>
        <v>5.0426256957952408E-2</v>
      </c>
      <c r="N15" s="99"/>
      <c r="O15" s="100"/>
    </row>
    <row r="16" spans="1:37" outlineLevel="1" x14ac:dyDescent="0.25">
      <c r="B16" s="101" t="s">
        <v>28</v>
      </c>
      <c r="C16" s="95" t="s">
        <v>12</v>
      </c>
      <c r="D16" s="95">
        <v>68934</v>
      </c>
      <c r="E16" s="95">
        <v>252759</v>
      </c>
      <c r="F16" s="95">
        <v>209921.91585365852</v>
      </c>
      <c r="G16" s="59">
        <f t="shared" si="3"/>
        <v>1.5130361189485061E-2</v>
      </c>
      <c r="H16" s="95">
        <v>298612</v>
      </c>
      <c r="I16" s="59">
        <f t="shared" si="4"/>
        <v>1.2516005886393938E-2</v>
      </c>
      <c r="J16" s="95">
        <v>220691.17004336044</v>
      </c>
      <c r="K16" s="59">
        <f t="shared" si="1"/>
        <v>2.3046985313419047E-2</v>
      </c>
      <c r="L16" s="95">
        <v>219641</v>
      </c>
      <c r="M16" s="59">
        <f t="shared" si="2"/>
        <v>9.1971241154288254E-3</v>
      </c>
      <c r="N16" s="97" t="s">
        <v>29</v>
      </c>
      <c r="O16" s="102"/>
      <c r="P16" s="52">
        <f>+O16*15/16</f>
        <v>0</v>
      </c>
    </row>
    <row r="17" spans="2:15" outlineLevel="1" x14ac:dyDescent="0.25">
      <c r="B17" s="101" t="s">
        <v>30</v>
      </c>
      <c r="C17" s="95" t="s">
        <v>12</v>
      </c>
      <c r="D17" s="95">
        <v>67090</v>
      </c>
      <c r="E17" s="95">
        <v>226596</v>
      </c>
      <c r="F17" s="103">
        <v>258814.85447804871</v>
      </c>
      <c r="G17" s="59">
        <f t="shared" si="3"/>
        <v>1.8654375430656803E-2</v>
      </c>
      <c r="H17" s="95">
        <v>304120</v>
      </c>
      <c r="I17" s="59">
        <f t="shared" si="4"/>
        <v>1.2746867875939764E-2</v>
      </c>
      <c r="J17" s="95">
        <v>219395.4613387534</v>
      </c>
      <c r="K17" s="59">
        <f t="shared" si="1"/>
        <v>2.2911673241442266E-2</v>
      </c>
      <c r="L17" s="95">
        <f>280137-26000</f>
        <v>254137</v>
      </c>
      <c r="M17" s="59">
        <f t="shared" si="2"/>
        <v>1.0641590282883138E-2</v>
      </c>
      <c r="N17" s="97" t="s">
        <v>31</v>
      </c>
    </row>
    <row r="18" spans="2:15" outlineLevel="1" x14ac:dyDescent="0.25">
      <c r="B18" s="101" t="s">
        <v>32</v>
      </c>
      <c r="C18" s="95" t="s">
        <v>12</v>
      </c>
      <c r="D18" s="95">
        <v>17663</v>
      </c>
      <c r="E18" s="95">
        <v>52988</v>
      </c>
      <c r="F18" s="103">
        <v>74673.880975609762</v>
      </c>
      <c r="G18" s="59">
        <f t="shared" si="3"/>
        <v>5.3822050260308825E-3</v>
      </c>
      <c r="H18" s="95">
        <v>75007</v>
      </c>
      <c r="I18" s="59">
        <f t="shared" si="4"/>
        <v>3.1438390068743056E-3</v>
      </c>
      <c r="J18" s="95">
        <v>67782.657078590782</v>
      </c>
      <c r="K18" s="59">
        <f t="shared" si="1"/>
        <v>7.0786062799334925E-3</v>
      </c>
      <c r="L18" s="95">
        <f>92643-12000</f>
        <v>80643</v>
      </c>
      <c r="M18" s="59">
        <f t="shared" si="2"/>
        <v>3.3767997780037736E-3</v>
      </c>
      <c r="N18" s="97" t="s">
        <v>33</v>
      </c>
    </row>
    <row r="19" spans="2:15" outlineLevel="1" x14ac:dyDescent="0.25">
      <c r="B19" s="101" t="s">
        <v>34</v>
      </c>
      <c r="C19" s="95" t="s">
        <v>12</v>
      </c>
      <c r="D19" s="95" t="s">
        <v>17</v>
      </c>
      <c r="E19" s="95" t="s">
        <v>17</v>
      </c>
      <c r="F19" s="104"/>
      <c r="G19" s="59">
        <f t="shared" si="3"/>
        <v>0</v>
      </c>
      <c r="H19" s="95">
        <v>23175</v>
      </c>
      <c r="I19" s="59">
        <f t="shared" si="4"/>
        <v>9.7135559326878861E-4</v>
      </c>
      <c r="J19" s="95">
        <v>0</v>
      </c>
      <c r="K19" s="59">
        <f t="shared" si="1"/>
        <v>0</v>
      </c>
      <c r="L19" s="95">
        <v>0</v>
      </c>
      <c r="M19" s="59">
        <f t="shared" si="2"/>
        <v>0</v>
      </c>
      <c r="N19" s="97"/>
      <c r="O19" s="60"/>
    </row>
    <row r="20" spans="2:15" outlineLevel="1" x14ac:dyDescent="0.25">
      <c r="B20" s="57" t="s">
        <v>35</v>
      </c>
      <c r="C20" s="95" t="s">
        <v>12</v>
      </c>
      <c r="D20" s="95">
        <v>25199</v>
      </c>
      <c r="E20" s="95">
        <v>75596</v>
      </c>
      <c r="F20" s="105">
        <v>84644.534243902439</v>
      </c>
      <c r="G20" s="59">
        <f t="shared" si="3"/>
        <v>6.1008512170724867E-3</v>
      </c>
      <c r="H20" s="95">
        <v>70760</v>
      </c>
      <c r="I20" s="59">
        <f t="shared" si="4"/>
        <v>2.9658304975059111E-3</v>
      </c>
      <c r="J20" s="95">
        <v>52150.901441734415</v>
      </c>
      <c r="K20" s="59">
        <f t="shared" si="1"/>
        <v>5.4461674174506808E-3</v>
      </c>
      <c r="L20" s="95">
        <f>97802-13000</f>
        <v>84802</v>
      </c>
      <c r="M20" s="59">
        <f t="shared" si="2"/>
        <v>3.5509514126988826E-3</v>
      </c>
      <c r="N20" s="97" t="s">
        <v>36</v>
      </c>
    </row>
    <row r="21" spans="2:15" outlineLevel="1" x14ac:dyDescent="0.25">
      <c r="B21" s="57" t="s">
        <v>37</v>
      </c>
      <c r="C21" s="95" t="s">
        <v>12</v>
      </c>
      <c r="D21" s="95">
        <v>39357</v>
      </c>
      <c r="E21" s="95">
        <v>118070</v>
      </c>
      <c r="F21" s="95">
        <v>137327.43837398375</v>
      </c>
      <c r="G21" s="59">
        <f t="shared" si="3"/>
        <v>9.8980315388966719E-3</v>
      </c>
      <c r="H21" s="95">
        <v>118049</v>
      </c>
      <c r="I21" s="59">
        <f t="shared" si="4"/>
        <v>4.9478988750717252E-3</v>
      </c>
      <c r="J21" s="95">
        <v>108729.03730081301</v>
      </c>
      <c r="K21" s="59">
        <f t="shared" si="1"/>
        <v>1.1354675066164567E-2</v>
      </c>
      <c r="L21" s="95">
        <v>162113</v>
      </c>
      <c r="M21" s="59">
        <f t="shared" si="2"/>
        <v>6.7882288904371826E-3</v>
      </c>
      <c r="N21" s="97" t="s">
        <v>38</v>
      </c>
    </row>
    <row r="22" spans="2:15" outlineLevel="1" x14ac:dyDescent="0.25">
      <c r="B22" s="57" t="s">
        <v>39</v>
      </c>
      <c r="C22" s="95" t="s">
        <v>12</v>
      </c>
      <c r="D22" s="95">
        <v>62640</v>
      </c>
      <c r="E22" s="95">
        <v>187921</v>
      </c>
      <c r="F22" s="105">
        <v>204853.00292682927</v>
      </c>
      <c r="G22" s="59">
        <f t="shared" si="3"/>
        <v>1.476501351671305E-2</v>
      </c>
      <c r="H22" s="95">
        <v>308990</v>
      </c>
      <c r="I22" s="59">
        <f t="shared" si="4"/>
        <v>1.2950988770835944E-2</v>
      </c>
      <c r="J22" s="95">
        <v>157456.84724119242</v>
      </c>
      <c r="K22" s="59">
        <f t="shared" si="1"/>
        <v>1.6443365836304354E-2</v>
      </c>
      <c r="L22" s="95">
        <v>325000</v>
      </c>
      <c r="M22" s="59">
        <f t="shared" si="2"/>
        <v>1.3608867823012863E-2</v>
      </c>
      <c r="N22" s="97" t="s">
        <v>40</v>
      </c>
    </row>
    <row r="23" spans="2:15" outlineLevel="1" x14ac:dyDescent="0.25">
      <c r="B23" s="101" t="s">
        <v>41</v>
      </c>
      <c r="C23" s="95"/>
      <c r="D23" s="95">
        <v>17663</v>
      </c>
      <c r="E23" s="95">
        <v>35326</v>
      </c>
      <c r="F23" s="95">
        <v>22306.185914634145</v>
      </c>
      <c r="G23" s="59">
        <f t="shared" si="3"/>
        <v>1.6077437568905307E-3</v>
      </c>
      <c r="H23" s="95">
        <v>89798</v>
      </c>
      <c r="I23" s="59">
        <f t="shared" si="4"/>
        <v>3.7637881149665884E-3</v>
      </c>
      <c r="J23" s="95">
        <v>60975.609756097561</v>
      </c>
      <c r="K23" s="59">
        <f t="shared" si="1"/>
        <v>6.3677399610027156E-3</v>
      </c>
      <c r="L23" s="95">
        <v>0</v>
      </c>
      <c r="M23" s="59">
        <f t="shared" si="2"/>
        <v>0</v>
      </c>
      <c r="N23" s="97" t="s">
        <v>42</v>
      </c>
    </row>
    <row r="24" spans="2:15" outlineLevel="1" x14ac:dyDescent="0.25">
      <c r="B24" s="57" t="s">
        <v>43</v>
      </c>
      <c r="C24" s="95" t="s">
        <v>12</v>
      </c>
      <c r="D24" s="95">
        <v>22866</v>
      </c>
      <c r="E24" s="95">
        <v>37729</v>
      </c>
      <c r="F24" s="95">
        <v>48780</v>
      </c>
      <c r="G24" s="59">
        <f t="shared" si="3"/>
        <v>3.5158740611799652E-3</v>
      </c>
      <c r="H24" s="95">
        <v>83907</v>
      </c>
      <c r="I24" s="59">
        <f t="shared" si="4"/>
        <v>3.516873085842686E-3</v>
      </c>
      <c r="J24" s="95">
        <v>59470.910612466134</v>
      </c>
      <c r="K24" s="59">
        <f t="shared" si="1"/>
        <v>6.2106028219972255E-3</v>
      </c>
      <c r="L24" s="95">
        <v>77918</v>
      </c>
      <c r="M24" s="59">
        <f t="shared" si="2"/>
        <v>3.2626946554877427E-3</v>
      </c>
      <c r="N24" s="97" t="s">
        <v>44</v>
      </c>
      <c r="O24" s="60"/>
    </row>
    <row r="25" spans="2:15" x14ac:dyDescent="0.25">
      <c r="B25" s="64" t="s">
        <v>45</v>
      </c>
      <c r="C25" s="106">
        <f>+C3+C8+C15</f>
        <v>0</v>
      </c>
      <c r="D25" s="106">
        <f t="shared" ref="D25:F25" si="7">+D3+D8+D15</f>
        <v>1750556</v>
      </c>
      <c r="E25" s="106">
        <f t="shared" si="7"/>
        <v>20320620</v>
      </c>
      <c r="F25" s="106">
        <f t="shared" si="7"/>
        <v>13874217.094007317</v>
      </c>
      <c r="G25" s="66">
        <f t="shared" si="3"/>
        <v>1</v>
      </c>
      <c r="H25" s="107">
        <f>+H3+H8+H15</f>
        <v>23858410</v>
      </c>
      <c r="I25" s="108">
        <f t="shared" si="4"/>
        <v>1</v>
      </c>
      <c r="J25" s="109">
        <f>+J3+J8+J15</f>
        <v>9575706.6289647687</v>
      </c>
      <c r="K25" s="110">
        <f t="shared" si="1"/>
        <v>1</v>
      </c>
      <c r="L25" s="111">
        <f>+L3+L8+L15</f>
        <v>23881487</v>
      </c>
      <c r="M25" s="112">
        <f t="shared" si="2"/>
        <v>1</v>
      </c>
      <c r="N25" s="106"/>
    </row>
    <row r="26" spans="2:15" hidden="1" outlineLevel="1" x14ac:dyDescent="0.25">
      <c r="B26" s="69" t="s">
        <v>46</v>
      </c>
      <c r="C26" s="113">
        <v>0</v>
      </c>
      <c r="D26" s="113">
        <f>+D25*0.15</f>
        <v>262583.39999999997</v>
      </c>
      <c r="E26" s="113">
        <f>+E25*0.15</f>
        <v>3048093</v>
      </c>
      <c r="F26" s="113">
        <f>+F25*G26</f>
        <v>1387421.7094007318</v>
      </c>
      <c r="G26" s="71">
        <v>0.1</v>
      </c>
      <c r="H26" s="113">
        <v>0</v>
      </c>
      <c r="I26" s="71">
        <f>+H26/H25</f>
        <v>0</v>
      </c>
      <c r="J26" s="113">
        <v>0</v>
      </c>
      <c r="K26" s="71">
        <f>+J26/J25</f>
        <v>0</v>
      </c>
      <c r="L26" s="113">
        <v>493025</v>
      </c>
      <c r="M26" s="71">
        <f>+L26/L25</f>
        <v>2.0644652487510514E-2</v>
      </c>
      <c r="N26" s="114"/>
    </row>
    <row r="27" spans="2:15" collapsed="1" x14ac:dyDescent="0.25">
      <c r="B27" s="73" t="s">
        <v>47</v>
      </c>
      <c r="C27" s="115">
        <f t="shared" ref="C27:F27" si="8">+C25+C26</f>
        <v>0</v>
      </c>
      <c r="D27" s="115">
        <f t="shared" si="8"/>
        <v>2013139.4</v>
      </c>
      <c r="E27" s="115">
        <f t="shared" si="8"/>
        <v>23368713</v>
      </c>
      <c r="F27" s="115">
        <f t="shared" si="8"/>
        <v>15261638.803408049</v>
      </c>
      <c r="G27" s="75">
        <f t="shared" si="3"/>
        <v>1.1000000000000001</v>
      </c>
      <c r="H27" s="116">
        <f>+H25+H26</f>
        <v>23858410</v>
      </c>
      <c r="I27" s="117">
        <f>+I25+I26</f>
        <v>1</v>
      </c>
      <c r="J27" s="118">
        <f t="shared" ref="J27:K27" si="9">+J25+J26</f>
        <v>9575706.6289647687</v>
      </c>
      <c r="K27" s="119">
        <f t="shared" si="9"/>
        <v>1</v>
      </c>
      <c r="L27" s="120">
        <f>+L25+L26</f>
        <v>24374512</v>
      </c>
      <c r="M27" s="121">
        <f>+M25+M26</f>
        <v>1.0206446524875106</v>
      </c>
      <c r="N27" s="115"/>
    </row>
    <row r="28" spans="2:15" s="52" customFormat="1" x14ac:dyDescent="0.25">
      <c r="F28" s="78"/>
      <c r="G28" s="78"/>
      <c r="H28" s="78"/>
      <c r="I28" s="78"/>
      <c r="J28" s="78"/>
      <c r="K28" s="78"/>
      <c r="M28" s="78"/>
      <c r="N28" s="78"/>
    </row>
    <row r="29" spans="2:15" s="82" customFormat="1" x14ac:dyDescent="0.25">
      <c r="B29" s="73" t="s">
        <v>48</v>
      </c>
      <c r="C29" s="115"/>
      <c r="D29" s="115"/>
      <c r="E29" s="115"/>
      <c r="F29" s="79">
        <v>116</v>
      </c>
      <c r="G29" s="79"/>
      <c r="H29" s="80">
        <v>312</v>
      </c>
      <c r="I29" s="80"/>
      <c r="J29" s="81">
        <v>101</v>
      </c>
      <c r="K29" s="81"/>
      <c r="L29" s="122">
        <v>193</v>
      </c>
      <c r="M29" s="122"/>
      <c r="N29" s="79"/>
    </row>
    <row r="30" spans="2:15" s="82" customFormat="1" x14ac:dyDescent="0.25">
      <c r="B30" s="53" t="s">
        <v>49</v>
      </c>
      <c r="C30" s="93"/>
      <c r="D30" s="93"/>
      <c r="E30" s="93"/>
      <c r="F30" s="93">
        <f>+F4/F29</f>
        <v>100126.78218671153</v>
      </c>
      <c r="G30" s="55"/>
      <c r="H30" s="93">
        <f>+H4/H29</f>
        <v>65008.157051282054</v>
      </c>
      <c r="I30" s="55"/>
      <c r="J30" s="93">
        <f>+J4/J29</f>
        <v>77917.597531084815</v>
      </c>
      <c r="K30" s="55"/>
      <c r="L30" s="93">
        <f>+L4/L29</f>
        <v>110103.84455958549</v>
      </c>
      <c r="M30" s="55"/>
      <c r="N30" s="55"/>
    </row>
    <row r="31" spans="2:15" s="82" customFormat="1" x14ac:dyDescent="0.25">
      <c r="B31" s="73" t="s">
        <v>50</v>
      </c>
      <c r="C31" s="115"/>
      <c r="D31" s="115"/>
      <c r="E31" s="115"/>
      <c r="F31" s="115">
        <f>+F25/F29</f>
        <v>119605.31977592515</v>
      </c>
      <c r="G31" s="75">
        <f>+(F31-F30)/F30</f>
        <v>0.19453873542935793</v>
      </c>
      <c r="H31" s="116">
        <f>+H25/H29</f>
        <v>76469.262820512828</v>
      </c>
      <c r="I31" s="117">
        <f>+(H31-H30)/H30</f>
        <v>0.17630257938537797</v>
      </c>
      <c r="J31" s="118">
        <f>+J25/J29</f>
        <v>94808.976524403653</v>
      </c>
      <c r="K31" s="119">
        <f>+(J31-J30)/J30</f>
        <v>0.21678516187027086</v>
      </c>
      <c r="L31" s="120">
        <f>+L25/L29</f>
        <v>123738.27461139897</v>
      </c>
      <c r="M31" s="121">
        <f>+(L31-L30)/L30</f>
        <v>0.12383246113113577</v>
      </c>
      <c r="N31" s="75"/>
    </row>
    <row r="32" spans="2:15" s="127" customFormat="1" x14ac:dyDescent="0.25">
      <c r="B32" s="123"/>
      <c r="C32" s="124"/>
      <c r="D32" s="124"/>
      <c r="E32" s="124"/>
      <c r="F32" s="124"/>
      <c r="G32" s="125"/>
      <c r="H32" s="124"/>
      <c r="I32" s="125"/>
      <c r="J32" s="124"/>
      <c r="K32" s="126"/>
      <c r="L32" s="124"/>
      <c r="M32" s="125"/>
      <c r="N32" s="125"/>
    </row>
    <row r="33" spans="2:16" s="52" customFormat="1" x14ac:dyDescent="0.25">
      <c r="B33" s="52" t="s">
        <v>51</v>
      </c>
      <c r="F33" s="78">
        <v>16</v>
      </c>
      <c r="G33" s="78"/>
      <c r="H33" s="78"/>
      <c r="I33" s="78"/>
      <c r="J33" s="78"/>
      <c r="K33" s="78"/>
      <c r="M33" s="78"/>
      <c r="N33" s="78"/>
    </row>
    <row r="34" spans="2:16" s="52" customFormat="1" x14ac:dyDescent="0.25">
      <c r="B34" s="52" t="s">
        <v>52</v>
      </c>
      <c r="F34" s="78">
        <v>4100</v>
      </c>
      <c r="G34" s="78"/>
      <c r="H34" s="78"/>
      <c r="I34" s="78"/>
      <c r="J34" s="78"/>
      <c r="K34" s="78"/>
      <c r="M34" s="78"/>
      <c r="N34" s="78"/>
    </row>
    <row r="35" spans="2:16" s="52" customFormat="1" x14ac:dyDescent="0.25">
      <c r="B35" s="52" t="s">
        <v>53</v>
      </c>
      <c r="F35" s="86">
        <v>0.08</v>
      </c>
      <c r="G35" s="78"/>
      <c r="H35" s="78"/>
      <c r="I35" s="78"/>
      <c r="J35" s="78"/>
      <c r="K35" s="78"/>
      <c r="M35" s="78"/>
      <c r="N35" s="78"/>
    </row>
    <row r="36" spans="2:16" s="52" customFormat="1" x14ac:dyDescent="0.25">
      <c r="B36" s="87" t="s">
        <v>54</v>
      </c>
    </row>
    <row r="37" spans="2:16" s="52" customFormat="1" x14ac:dyDescent="0.25">
      <c r="B37" s="88" t="s">
        <v>55</v>
      </c>
    </row>
    <row r="38" spans="2:16" s="52" customFormat="1" x14ac:dyDescent="0.25">
      <c r="B38" s="88" t="s">
        <v>56</v>
      </c>
    </row>
    <row r="39" spans="2:16" s="52" customFormat="1" x14ac:dyDescent="0.25">
      <c r="B39" s="88" t="s">
        <v>57</v>
      </c>
      <c r="K39" s="89"/>
    </row>
    <row r="40" spans="2:16" s="52" customFormat="1" x14ac:dyDescent="0.25">
      <c r="B40" s="88" t="s">
        <v>58</v>
      </c>
    </row>
    <row r="41" spans="2:16" s="52" customFormat="1" x14ac:dyDescent="0.25">
      <c r="B41" s="88" t="s">
        <v>59</v>
      </c>
      <c r="O41" s="61">
        <v>17.399999999999999</v>
      </c>
      <c r="P41" s="52" t="s">
        <v>60</v>
      </c>
    </row>
    <row r="42" spans="2:16" s="52" customFormat="1" x14ac:dyDescent="0.25">
      <c r="B42" s="88"/>
      <c r="O42" s="61">
        <v>1.7</v>
      </c>
      <c r="P42" s="52" t="s">
        <v>61</v>
      </c>
    </row>
    <row r="43" spans="2:16" s="52" customFormat="1" x14ac:dyDescent="0.25">
      <c r="B43" s="88"/>
      <c r="O43" s="61">
        <f>+O41+O42</f>
        <v>19.099999999999998</v>
      </c>
    </row>
    <row r="44" spans="2:16" s="52" customFormat="1" x14ac:dyDescent="0.25">
      <c r="B44" s="88"/>
      <c r="N44" s="90">
        <v>0.05</v>
      </c>
      <c r="O44" s="61">
        <f>+O43*N44</f>
        <v>0.95499999999999996</v>
      </c>
      <c r="P44" s="52" t="s">
        <v>62</v>
      </c>
    </row>
    <row r="45" spans="2:16" s="52" customFormat="1" x14ac:dyDescent="0.25">
      <c r="B45" s="88"/>
      <c r="O45" s="61">
        <f>+O43+O44</f>
        <v>20.054999999999996</v>
      </c>
    </row>
    <row r="46" spans="2:16" s="52" customFormat="1" x14ac:dyDescent="0.25">
      <c r="B46" s="88"/>
    </row>
    <row r="47" spans="2:16" s="52" customFormat="1" x14ac:dyDescent="0.25">
      <c r="B47" s="88"/>
    </row>
    <row r="48" spans="2:16" s="52" customFormat="1" x14ac:dyDescent="0.25">
      <c r="B48" s="88"/>
    </row>
    <row r="49" spans="2:14" s="52" customFormat="1" x14ac:dyDescent="0.25">
      <c r="B49" s="88"/>
    </row>
    <row r="50" spans="2:14" s="52" customFormat="1" x14ac:dyDescent="0.25">
      <c r="B50" s="88"/>
    </row>
    <row r="51" spans="2:14" s="52" customFormat="1" x14ac:dyDescent="0.25">
      <c r="B51" s="88"/>
    </row>
    <row r="52" spans="2:14" s="52" customFormat="1" x14ac:dyDescent="0.25"/>
    <row r="53" spans="2:14" s="52" customFormat="1" x14ac:dyDescent="0.25">
      <c r="F53" s="78"/>
      <c r="G53" s="78"/>
      <c r="H53" s="78"/>
      <c r="I53" s="78"/>
    </row>
    <row r="54" spans="2:14" s="52" customFormat="1" x14ac:dyDescent="0.25">
      <c r="F54" s="78"/>
      <c r="G54" s="78"/>
      <c r="H54" s="78"/>
      <c r="I54" s="78"/>
      <c r="J54" s="78"/>
    </row>
    <row r="55" spans="2:14" s="92" customFormat="1" x14ac:dyDescent="0.25">
      <c r="B55" s="52"/>
      <c r="C55" s="52"/>
      <c r="D55" s="52"/>
      <c r="E55" s="52"/>
      <c r="F55" s="78"/>
      <c r="G55" s="78"/>
      <c r="H55" s="78"/>
      <c r="I55" s="78"/>
      <c r="J55" s="78"/>
      <c r="K55" s="78"/>
      <c r="M55" s="78"/>
      <c r="N55" s="78"/>
    </row>
    <row r="56" spans="2:14" s="92" customFormat="1" x14ac:dyDescent="0.25">
      <c r="B56" s="52"/>
      <c r="C56" s="52"/>
      <c r="D56" s="52"/>
      <c r="E56" s="52"/>
      <c r="F56" s="78"/>
      <c r="G56" s="78"/>
      <c r="H56" s="78"/>
      <c r="I56" s="78"/>
      <c r="J56" s="78"/>
      <c r="K56" s="78"/>
      <c r="M56" s="78"/>
      <c r="N56" s="78"/>
    </row>
    <row r="57" spans="2:14" s="92" customFormat="1" x14ac:dyDescent="0.25">
      <c r="B57" s="52"/>
      <c r="C57" s="52"/>
      <c r="D57" s="52"/>
      <c r="E57" s="52"/>
      <c r="F57" s="78"/>
      <c r="G57" s="78"/>
      <c r="H57" s="78"/>
      <c r="I57" s="78"/>
      <c r="J57" s="78"/>
      <c r="K57" s="78"/>
      <c r="M57" s="78"/>
      <c r="N57" s="78"/>
    </row>
    <row r="58" spans="2:14" s="92" customFormat="1" x14ac:dyDescent="0.25">
      <c r="B58" s="52"/>
      <c r="C58" s="52"/>
      <c r="D58" s="52"/>
      <c r="E58" s="52"/>
      <c r="F58" s="78"/>
      <c r="G58" s="78"/>
      <c r="H58" s="78"/>
      <c r="I58" s="78"/>
      <c r="J58" s="78"/>
      <c r="K58" s="78"/>
      <c r="M58" s="78"/>
      <c r="N58" s="78"/>
    </row>
    <row r="59" spans="2:14" s="92" customFormat="1" x14ac:dyDescent="0.25">
      <c r="B59" s="52"/>
      <c r="C59" s="52"/>
      <c r="D59" s="52"/>
      <c r="E59" s="52"/>
      <c r="F59" s="78"/>
      <c r="G59" s="78"/>
      <c r="H59" s="78"/>
      <c r="I59" s="78"/>
      <c r="J59" s="78"/>
      <c r="K59" s="78"/>
      <c r="M59" s="78"/>
      <c r="N59" s="78"/>
    </row>
    <row r="60" spans="2:14" s="92" customFormat="1" x14ac:dyDescent="0.25">
      <c r="B60" s="52"/>
      <c r="C60" s="52"/>
      <c r="D60" s="52"/>
      <c r="E60" s="52"/>
      <c r="F60" s="78"/>
      <c r="G60" s="78"/>
      <c r="H60" s="78"/>
      <c r="I60" s="78"/>
      <c r="J60" s="78"/>
      <c r="K60" s="78"/>
      <c r="M60" s="78"/>
      <c r="N60" s="78"/>
    </row>
    <row r="61" spans="2:14" s="92" customFormat="1" x14ac:dyDescent="0.25">
      <c r="B61" s="52"/>
      <c r="C61" s="52"/>
      <c r="D61" s="52"/>
      <c r="E61" s="52"/>
      <c r="F61" s="78"/>
      <c r="G61" s="78"/>
      <c r="H61" s="78"/>
      <c r="I61" s="78"/>
      <c r="J61" s="78"/>
      <c r="K61" s="78"/>
      <c r="M61" s="78"/>
      <c r="N61" s="78"/>
    </row>
    <row r="62" spans="2:14" s="92" customFormat="1" x14ac:dyDescent="0.25">
      <c r="B62" s="52"/>
      <c r="C62" s="52"/>
      <c r="D62" s="52"/>
      <c r="E62" s="52"/>
      <c r="F62" s="78"/>
      <c r="G62" s="78"/>
      <c r="H62" s="78"/>
      <c r="I62" s="78"/>
      <c r="J62" s="78"/>
      <c r="K62" s="78"/>
      <c r="M62" s="78"/>
      <c r="N62" s="78"/>
    </row>
    <row r="63" spans="2:14" s="92" customFormat="1" x14ac:dyDescent="0.25">
      <c r="B63" s="52"/>
      <c r="C63" s="52"/>
      <c r="D63" s="52"/>
      <c r="E63" s="52"/>
      <c r="F63" s="78"/>
      <c r="G63" s="78"/>
      <c r="H63" s="78"/>
      <c r="I63" s="78"/>
      <c r="J63" s="78"/>
      <c r="K63" s="78"/>
      <c r="M63" s="78"/>
      <c r="N63" s="78"/>
    </row>
    <row r="64" spans="2:14" s="92" customFormat="1" x14ac:dyDescent="0.25">
      <c r="B64" s="52"/>
      <c r="C64" s="52"/>
      <c r="D64" s="52"/>
      <c r="E64" s="52"/>
      <c r="F64" s="78"/>
      <c r="G64" s="78"/>
      <c r="H64" s="78"/>
      <c r="I64" s="78"/>
      <c r="J64" s="78"/>
      <c r="K64" s="78"/>
      <c r="M64" s="78"/>
      <c r="N64" s="78"/>
    </row>
    <row r="65" s="52" customFormat="1" x14ac:dyDescent="0.25"/>
    <row r="66" s="52" customFormat="1" x14ac:dyDescent="0.25"/>
    <row r="67" s="52" customFormat="1" x14ac:dyDescent="0.25"/>
    <row r="68" s="52" customFormat="1" x14ac:dyDescent="0.25"/>
    <row r="69" s="52" customFormat="1" x14ac:dyDescent="0.25"/>
    <row r="70" s="52" customFormat="1" x14ac:dyDescent="0.25"/>
    <row r="71" s="52" customFormat="1" x14ac:dyDescent="0.25"/>
    <row r="72" s="52" customFormat="1" x14ac:dyDescent="0.25"/>
    <row r="73" s="52" customFormat="1" x14ac:dyDescent="0.25"/>
    <row r="74" s="52" customFormat="1" x14ac:dyDescent="0.25"/>
    <row r="75" s="52" customFormat="1" x14ac:dyDescent="0.25"/>
    <row r="76" s="52" customFormat="1" x14ac:dyDescent="0.25"/>
    <row r="77" s="52" customFormat="1" x14ac:dyDescent="0.25"/>
    <row r="78" s="52" customFormat="1" x14ac:dyDescent="0.25"/>
    <row r="79" s="52" customFormat="1" x14ac:dyDescent="0.25"/>
    <row r="80" s="52" customFormat="1" x14ac:dyDescent="0.25"/>
    <row r="81" s="52" customFormat="1" x14ac:dyDescent="0.25"/>
    <row r="82" s="52" customFormat="1" x14ac:dyDescent="0.25"/>
    <row r="83" s="52" customFormat="1" x14ac:dyDescent="0.25"/>
    <row r="84" s="52" customFormat="1" x14ac:dyDescent="0.25"/>
    <row r="85" s="52" customFormat="1" x14ac:dyDescent="0.25"/>
    <row r="86" s="52" customFormat="1" x14ac:dyDescent="0.25"/>
    <row r="87" s="52" customFormat="1" x14ac:dyDescent="0.25"/>
    <row r="88" s="52" customFormat="1" x14ac:dyDescent="0.25"/>
    <row r="89" s="52" customFormat="1" x14ac:dyDescent="0.25"/>
    <row r="90" s="52" customFormat="1" x14ac:dyDescent="0.25"/>
    <row r="91" s="52" customFormat="1" x14ac:dyDescent="0.25"/>
    <row r="92" s="52" customFormat="1" x14ac:dyDescent="0.25"/>
    <row r="93" s="52" customFormat="1" x14ac:dyDescent="0.25"/>
    <row r="94" s="52" customFormat="1" x14ac:dyDescent="0.25"/>
    <row r="95" s="52" customFormat="1" x14ac:dyDescent="0.25"/>
    <row r="96" s="52" customFormat="1" x14ac:dyDescent="0.25"/>
    <row r="97" s="52" customFormat="1" x14ac:dyDescent="0.25"/>
    <row r="98" s="52" customFormat="1" x14ac:dyDescent="0.25"/>
    <row r="99" s="52" customFormat="1" x14ac:dyDescent="0.25"/>
    <row r="100" s="52" customFormat="1" x14ac:dyDescent="0.25"/>
    <row r="101" s="52" customFormat="1" x14ac:dyDescent="0.25"/>
    <row r="102" s="52" customFormat="1" x14ac:dyDescent="0.25"/>
    <row r="103" s="52" customFormat="1" x14ac:dyDescent="0.25"/>
    <row r="104" s="52" customFormat="1" x14ac:dyDescent="0.25"/>
    <row r="105" s="52" customFormat="1" x14ac:dyDescent="0.25"/>
    <row r="106" s="52" customFormat="1" x14ac:dyDescent="0.25"/>
    <row r="107" s="52" customFormat="1" x14ac:dyDescent="0.25"/>
    <row r="108" s="52" customFormat="1" x14ac:dyDescent="0.25"/>
    <row r="109" s="52" customFormat="1" x14ac:dyDescent="0.25"/>
    <row r="110" s="52" customFormat="1" x14ac:dyDescent="0.25"/>
    <row r="111" s="52" customFormat="1" x14ac:dyDescent="0.25"/>
    <row r="112" s="52" customFormat="1" x14ac:dyDescent="0.25"/>
    <row r="113" s="52" customFormat="1" x14ac:dyDescent="0.25"/>
    <row r="114" s="52" customFormat="1" x14ac:dyDescent="0.25"/>
    <row r="115" s="52" customFormat="1" x14ac:dyDescent="0.25"/>
    <row r="116" s="52" customFormat="1" x14ac:dyDescent="0.25"/>
    <row r="117" s="52" customFormat="1" x14ac:dyDescent="0.25"/>
    <row r="118" s="52" customFormat="1" x14ac:dyDescent="0.25"/>
    <row r="119" s="52" customFormat="1" x14ac:dyDescent="0.25"/>
    <row r="120" s="52" customFormat="1" x14ac:dyDescent="0.25"/>
    <row r="121" s="52" customFormat="1" x14ac:dyDescent="0.25"/>
    <row r="122" s="52" customFormat="1" x14ac:dyDescent="0.25"/>
    <row r="123" s="52" customFormat="1" x14ac:dyDescent="0.25"/>
    <row r="124" s="52" customFormat="1" x14ac:dyDescent="0.25"/>
    <row r="125" s="52" customFormat="1" x14ac:dyDescent="0.25"/>
    <row r="126" s="52" customFormat="1" x14ac:dyDescent="0.25"/>
    <row r="127" s="52" customFormat="1" x14ac:dyDescent="0.25"/>
    <row r="128" s="52" customFormat="1" x14ac:dyDescent="0.25"/>
    <row r="129" s="52" customFormat="1" x14ac:dyDescent="0.25"/>
    <row r="130" s="52" customFormat="1" x14ac:dyDescent="0.25"/>
    <row r="131" s="52" customFormat="1" x14ac:dyDescent="0.25"/>
    <row r="132" s="52" customFormat="1" x14ac:dyDescent="0.25"/>
    <row r="133" s="52" customFormat="1" x14ac:dyDescent="0.25"/>
    <row r="134" s="52" customFormat="1" x14ac:dyDescent="0.25"/>
    <row r="135" s="52" customFormat="1" x14ac:dyDescent="0.25"/>
    <row r="136" s="52" customFormat="1" x14ac:dyDescent="0.25"/>
    <row r="137" s="52" customFormat="1" x14ac:dyDescent="0.25"/>
    <row r="138" s="52" customFormat="1" x14ac:dyDescent="0.25"/>
    <row r="139" s="52" customFormat="1" x14ac:dyDescent="0.25"/>
    <row r="140" s="52" customFormat="1" x14ac:dyDescent="0.25"/>
    <row r="141" s="52" customFormat="1" x14ac:dyDescent="0.25"/>
    <row r="142" s="52" customFormat="1" x14ac:dyDescent="0.25"/>
    <row r="143" s="52" customFormat="1" x14ac:dyDescent="0.25"/>
    <row r="144" s="52" customFormat="1" x14ac:dyDescent="0.25"/>
    <row r="145" s="52" customFormat="1" x14ac:dyDescent="0.25"/>
    <row r="146" s="52" customFormat="1" x14ac:dyDescent="0.25"/>
    <row r="147" s="52" customFormat="1" x14ac:dyDescent="0.25"/>
    <row r="148" s="52" customFormat="1" x14ac:dyDescent="0.25"/>
    <row r="149" s="52" customFormat="1" x14ac:dyDescent="0.25"/>
    <row r="150" s="52" customFormat="1" x14ac:dyDescent="0.25"/>
    <row r="151" s="52" customFormat="1" x14ac:dyDescent="0.25"/>
    <row r="152" s="52" customFormat="1" x14ac:dyDescent="0.25"/>
    <row r="153" s="52" customFormat="1" x14ac:dyDescent="0.25"/>
    <row r="154" s="52" customFormat="1" x14ac:dyDescent="0.25"/>
    <row r="155" s="52" customFormat="1" x14ac:dyDescent="0.25"/>
    <row r="156" s="52" customFormat="1" x14ac:dyDescent="0.25"/>
    <row r="157" s="52" customFormat="1" x14ac:dyDescent="0.25"/>
    <row r="158" s="52" customFormat="1" x14ac:dyDescent="0.25"/>
    <row r="159" s="52" customFormat="1" x14ac:dyDescent="0.25"/>
    <row r="160" s="52" customFormat="1" x14ac:dyDescent="0.25"/>
    <row r="161" s="52" customFormat="1" x14ac:dyDescent="0.25"/>
    <row r="162" s="52" customFormat="1" x14ac:dyDescent="0.25"/>
    <row r="163" s="52" customFormat="1" x14ac:dyDescent="0.25"/>
    <row r="164" s="52" customFormat="1" x14ac:dyDescent="0.25"/>
    <row r="165" s="52" customFormat="1" x14ac:dyDescent="0.25"/>
    <row r="166" s="52" customFormat="1" x14ac:dyDescent="0.25"/>
    <row r="167" s="52" customFormat="1" x14ac:dyDescent="0.25"/>
    <row r="168" s="52" customFormat="1" x14ac:dyDescent="0.25"/>
    <row r="169" s="52" customFormat="1" x14ac:dyDescent="0.25"/>
    <row r="170" s="52" customFormat="1" x14ac:dyDescent="0.25"/>
    <row r="171" s="52" customFormat="1" x14ac:dyDescent="0.25"/>
    <row r="172" s="52" customFormat="1" x14ac:dyDescent="0.25"/>
    <row r="173" s="52" customFormat="1" x14ac:dyDescent="0.25"/>
    <row r="174" s="52" customFormat="1" x14ac:dyDescent="0.25"/>
    <row r="175" s="52" customFormat="1" x14ac:dyDescent="0.25"/>
    <row r="176" s="52" customFormat="1" x14ac:dyDescent="0.25"/>
    <row r="177" s="52" customFormat="1" x14ac:dyDescent="0.25"/>
    <row r="178" s="52" customFormat="1" x14ac:dyDescent="0.25"/>
    <row r="179" s="52" customFormat="1" x14ac:dyDescent="0.25"/>
    <row r="180" s="52" customFormat="1" x14ac:dyDescent="0.25"/>
    <row r="181" s="52" customFormat="1" x14ac:dyDescent="0.25"/>
    <row r="182" s="52" customFormat="1" x14ac:dyDescent="0.25"/>
    <row r="183" s="52" customFormat="1" x14ac:dyDescent="0.25"/>
    <row r="184" s="52" customFormat="1" x14ac:dyDescent="0.25"/>
    <row r="185" s="52" customFormat="1" x14ac:dyDescent="0.25"/>
    <row r="186" s="52" customFormat="1" x14ac:dyDescent="0.25"/>
    <row r="187" s="52" customFormat="1" x14ac:dyDescent="0.25"/>
    <row r="188" s="52" customFormat="1" x14ac:dyDescent="0.25"/>
    <row r="189" s="52" customFormat="1" x14ac:dyDescent="0.25"/>
    <row r="190" s="52" customFormat="1" x14ac:dyDescent="0.25"/>
    <row r="191" s="52" customFormat="1" x14ac:dyDescent="0.25"/>
    <row r="192" s="52" customFormat="1" x14ac:dyDescent="0.25"/>
    <row r="193" s="52" customFormat="1" x14ac:dyDescent="0.25"/>
    <row r="194" s="52" customFormat="1" x14ac:dyDescent="0.25"/>
    <row r="195" s="52" customFormat="1" x14ac:dyDescent="0.25"/>
    <row r="196" s="52" customFormat="1" x14ac:dyDescent="0.25"/>
    <row r="197" s="52" customFormat="1" x14ac:dyDescent="0.25"/>
    <row r="198" s="52" customFormat="1" x14ac:dyDescent="0.25"/>
    <row r="199" s="52" customFormat="1" x14ac:dyDescent="0.25"/>
    <row r="200" s="52" customFormat="1" x14ac:dyDescent="0.25"/>
    <row r="201" s="52" customFormat="1" x14ac:dyDescent="0.25"/>
    <row r="202" s="52" customFormat="1" x14ac:dyDescent="0.25"/>
    <row r="203" s="52" customFormat="1" x14ac:dyDescent="0.25"/>
    <row r="204" s="52" customFormat="1" x14ac:dyDescent="0.25"/>
    <row r="205" s="52" customFormat="1" x14ac:dyDescent="0.25"/>
    <row r="206" s="52" customFormat="1" x14ac:dyDescent="0.25"/>
    <row r="207" s="52" customFormat="1" x14ac:dyDescent="0.25"/>
    <row r="208" s="52" customFormat="1" x14ac:dyDescent="0.25"/>
    <row r="209" s="52" customFormat="1" x14ac:dyDescent="0.25"/>
    <row r="210" s="52" customFormat="1" x14ac:dyDescent="0.25"/>
    <row r="211" s="52" customFormat="1" x14ac:dyDescent="0.25"/>
    <row r="212" s="52" customFormat="1" x14ac:dyDescent="0.25"/>
    <row r="213" s="52" customFormat="1" x14ac:dyDescent="0.25"/>
    <row r="214" s="52" customFormat="1" x14ac:dyDescent="0.25"/>
    <row r="215" s="52" customFormat="1" x14ac:dyDescent="0.25"/>
    <row r="216" s="52" customFormat="1" x14ac:dyDescent="0.25"/>
    <row r="217" s="52" customFormat="1" x14ac:dyDescent="0.25"/>
    <row r="218" s="52" customFormat="1" x14ac:dyDescent="0.25"/>
    <row r="219" s="52" customFormat="1" x14ac:dyDescent="0.25"/>
    <row r="220" s="52" customFormat="1" x14ac:dyDescent="0.25"/>
    <row r="221" s="52" customFormat="1" x14ac:dyDescent="0.25"/>
    <row r="222" s="52" customFormat="1" x14ac:dyDescent="0.25"/>
    <row r="223" s="52" customFormat="1" x14ac:dyDescent="0.25"/>
    <row r="224" s="52" customFormat="1" x14ac:dyDescent="0.25"/>
    <row r="225" s="52" customFormat="1" x14ac:dyDescent="0.25"/>
    <row r="226" s="52" customFormat="1" x14ac:dyDescent="0.25"/>
    <row r="227" s="52" customFormat="1" x14ac:dyDescent="0.25"/>
    <row r="228" s="52" customFormat="1" x14ac:dyDescent="0.25"/>
    <row r="229" s="52" customFormat="1" x14ac:dyDescent="0.25"/>
    <row r="230" s="52" customFormat="1" x14ac:dyDescent="0.25"/>
    <row r="231" s="52" customFormat="1" x14ac:dyDescent="0.25"/>
    <row r="232" s="52" customFormat="1" x14ac:dyDescent="0.25"/>
    <row r="233" s="52" customFormat="1" x14ac:dyDescent="0.25"/>
    <row r="234" s="52" customFormat="1" x14ac:dyDescent="0.25"/>
    <row r="235" s="52" customFormat="1" x14ac:dyDescent="0.25"/>
    <row r="236" s="52" customFormat="1" x14ac:dyDescent="0.25"/>
    <row r="237" s="52" customFormat="1" x14ac:dyDescent="0.25"/>
    <row r="238" s="52" customFormat="1" x14ac:dyDescent="0.25"/>
    <row r="239" s="52" customFormat="1" x14ac:dyDescent="0.25"/>
    <row r="240" s="52" customFormat="1" x14ac:dyDescent="0.25"/>
    <row r="241" s="52" customFormat="1" x14ac:dyDescent="0.25"/>
    <row r="242" s="52" customFormat="1" x14ac:dyDescent="0.25"/>
    <row r="243" s="52" customFormat="1" x14ac:dyDescent="0.25"/>
    <row r="244" s="52" customFormat="1" x14ac:dyDescent="0.25"/>
    <row r="245" s="52" customFormat="1" x14ac:dyDescent="0.25"/>
    <row r="246" s="52" customFormat="1" x14ac:dyDescent="0.25"/>
    <row r="247" s="52" customFormat="1" x14ac:dyDescent="0.25"/>
    <row r="248" s="52" customFormat="1" x14ac:dyDescent="0.25"/>
    <row r="249" s="52" customFormat="1" x14ac:dyDescent="0.25"/>
    <row r="250" s="52" customFormat="1" x14ac:dyDescent="0.25"/>
    <row r="251" s="52" customFormat="1" x14ac:dyDescent="0.25"/>
    <row r="252" s="52" customFormat="1" x14ac:dyDescent="0.25"/>
    <row r="253" s="52" customFormat="1" x14ac:dyDescent="0.25"/>
    <row r="254" s="52" customFormat="1" x14ac:dyDescent="0.25"/>
    <row r="255" s="52" customFormat="1" x14ac:dyDescent="0.25"/>
    <row r="256" s="52" customFormat="1" x14ac:dyDescent="0.25"/>
    <row r="257" s="52" customFormat="1" x14ac:dyDescent="0.25"/>
    <row r="258" s="52" customFormat="1" x14ac:dyDescent="0.25"/>
    <row r="259" s="52" customFormat="1" x14ac:dyDescent="0.25"/>
    <row r="260" s="52" customFormat="1" x14ac:dyDescent="0.25"/>
    <row r="261" s="52" customFormat="1" x14ac:dyDescent="0.25"/>
    <row r="262" s="52" customFormat="1" x14ac:dyDescent="0.25"/>
    <row r="263" s="52" customFormat="1" x14ac:dyDescent="0.25"/>
    <row r="264" s="52" customFormat="1" x14ac:dyDescent="0.25"/>
    <row r="265" s="52" customFormat="1" x14ac:dyDescent="0.25"/>
    <row r="266" s="52" customFormat="1" x14ac:dyDescent="0.25"/>
    <row r="267" s="52" customFormat="1" x14ac:dyDescent="0.25"/>
    <row r="268" s="52" customFormat="1" x14ac:dyDescent="0.25"/>
    <row r="269" s="52" customFormat="1" x14ac:dyDescent="0.25"/>
    <row r="270" s="52" customFormat="1" x14ac:dyDescent="0.25"/>
    <row r="271" s="52" customFormat="1" x14ac:dyDescent="0.25"/>
    <row r="272" s="52" customFormat="1" x14ac:dyDescent="0.25"/>
    <row r="273" s="52" customFormat="1" x14ac:dyDescent="0.25"/>
    <row r="274" s="52" customFormat="1" x14ac:dyDescent="0.25"/>
    <row r="275" s="52" customFormat="1" x14ac:dyDescent="0.25"/>
    <row r="276" s="52" customFormat="1" x14ac:dyDescent="0.25"/>
    <row r="277" s="52" customFormat="1" x14ac:dyDescent="0.25"/>
    <row r="278" s="52" customFormat="1" x14ac:dyDescent="0.25"/>
    <row r="279" s="52" customFormat="1" x14ac:dyDescent="0.25"/>
    <row r="280" s="52" customFormat="1" x14ac:dyDescent="0.25"/>
    <row r="281" s="52" customFormat="1" x14ac:dyDescent="0.25"/>
    <row r="282" s="52" customFormat="1" x14ac:dyDescent="0.25"/>
    <row r="283" s="52" customFormat="1" x14ac:dyDescent="0.25"/>
    <row r="284" s="52" customFormat="1" x14ac:dyDescent="0.25"/>
    <row r="285" s="52" customFormat="1" x14ac:dyDescent="0.25"/>
    <row r="286" s="52" customFormat="1" x14ac:dyDescent="0.25"/>
    <row r="287" s="52" customFormat="1" x14ac:dyDescent="0.25"/>
    <row r="288" s="52" customFormat="1" x14ac:dyDescent="0.25"/>
    <row r="289" s="52" customFormat="1" x14ac:dyDescent="0.25"/>
    <row r="290" s="52" customFormat="1" x14ac:dyDescent="0.25"/>
    <row r="291" s="52" customFormat="1" x14ac:dyDescent="0.25"/>
    <row r="292" s="52" customFormat="1" x14ac:dyDescent="0.25"/>
    <row r="293" s="52" customFormat="1" x14ac:dyDescent="0.25"/>
    <row r="294" s="52" customFormat="1" x14ac:dyDescent="0.25"/>
    <row r="295" s="52" customFormat="1" x14ac:dyDescent="0.25"/>
    <row r="296" s="52" customFormat="1" x14ac:dyDescent="0.25"/>
    <row r="297" s="52" customFormat="1" x14ac:dyDescent="0.25"/>
    <row r="298" s="52" customFormat="1" x14ac:dyDescent="0.25"/>
    <row r="299" s="52" customFormat="1" x14ac:dyDescent="0.25"/>
    <row r="300" s="52" customFormat="1" x14ac:dyDescent="0.25"/>
    <row r="301" s="52" customFormat="1" x14ac:dyDescent="0.25"/>
    <row r="302" s="52" customFormat="1" x14ac:dyDescent="0.25"/>
    <row r="303" s="52" customFormat="1" x14ac:dyDescent="0.25"/>
    <row r="304" s="52" customFormat="1" x14ac:dyDescent="0.25"/>
    <row r="305" s="52" customFormat="1" x14ac:dyDescent="0.25"/>
    <row r="306" s="52" customFormat="1" x14ac:dyDescent="0.25"/>
    <row r="307" s="52" customFormat="1" x14ac:dyDescent="0.25"/>
    <row r="308" s="52" customFormat="1" x14ac:dyDescent="0.25"/>
    <row r="309" s="52" customFormat="1" x14ac:dyDescent="0.25"/>
    <row r="310" s="52" customFormat="1" x14ac:dyDescent="0.25"/>
    <row r="311" s="52" customFormat="1" x14ac:dyDescent="0.25"/>
    <row r="312" s="52" customFormat="1" x14ac:dyDescent="0.25"/>
    <row r="313" s="52" customFormat="1" x14ac:dyDescent="0.25"/>
    <row r="314" s="52" customFormat="1" x14ac:dyDescent="0.25"/>
    <row r="315" s="52" customFormat="1" x14ac:dyDescent="0.25"/>
    <row r="316" s="52" customFormat="1" x14ac:dyDescent="0.25"/>
    <row r="317" s="52" customFormat="1" x14ac:dyDescent="0.25"/>
    <row r="318" s="52" customFormat="1" x14ac:dyDescent="0.25"/>
    <row r="319" s="52" customFormat="1" x14ac:dyDescent="0.25"/>
    <row r="320" s="52" customFormat="1" x14ac:dyDescent="0.25"/>
    <row r="321" s="52" customFormat="1" x14ac:dyDescent="0.25"/>
    <row r="322" s="52" customFormat="1" x14ac:dyDescent="0.25"/>
    <row r="323" s="52" customFormat="1" x14ac:dyDescent="0.25"/>
    <row r="324" s="52" customFormat="1" x14ac:dyDescent="0.25"/>
    <row r="325" s="52" customFormat="1" x14ac:dyDescent="0.25"/>
    <row r="326" s="52" customFormat="1" x14ac:dyDescent="0.25"/>
    <row r="327" s="52" customFormat="1" x14ac:dyDescent="0.25"/>
    <row r="328" s="52" customFormat="1" x14ac:dyDescent="0.25"/>
    <row r="329" s="52" customFormat="1" x14ac:dyDescent="0.25"/>
    <row r="330" s="52" customFormat="1" x14ac:dyDescent="0.25"/>
    <row r="331" s="52" customFormat="1" x14ac:dyDescent="0.25"/>
    <row r="332" s="52" customFormat="1" x14ac:dyDescent="0.25"/>
    <row r="333" s="52" customFormat="1" x14ac:dyDescent="0.25"/>
    <row r="334" s="52" customFormat="1" x14ac:dyDescent="0.25"/>
    <row r="335" s="52" customFormat="1" x14ac:dyDescent="0.25"/>
    <row r="336" s="52" customFormat="1" x14ac:dyDescent="0.25"/>
    <row r="337" s="52" customFormat="1" x14ac:dyDescent="0.25"/>
    <row r="338" s="52" customFormat="1" x14ac:dyDescent="0.25"/>
    <row r="339" s="52" customFormat="1" x14ac:dyDescent="0.25"/>
    <row r="340" s="52" customFormat="1" x14ac:dyDescent="0.25"/>
    <row r="341" s="52" customFormat="1" x14ac:dyDescent="0.25"/>
    <row r="342" s="52" customFormat="1" x14ac:dyDescent="0.25"/>
    <row r="343" s="52" customFormat="1" x14ac:dyDescent="0.25"/>
    <row r="344" s="52" customFormat="1" x14ac:dyDescent="0.25"/>
    <row r="345" s="52" customFormat="1" x14ac:dyDescent="0.25"/>
    <row r="346" s="52" customFormat="1" x14ac:dyDescent="0.25"/>
    <row r="347" s="52" customFormat="1" x14ac:dyDescent="0.25"/>
    <row r="348" s="52" customFormat="1" x14ac:dyDescent="0.25"/>
    <row r="349" s="52" customFormat="1" x14ac:dyDescent="0.25"/>
    <row r="350" s="52" customFormat="1" x14ac:dyDescent="0.25"/>
    <row r="351" s="52" customFormat="1" x14ac:dyDescent="0.25"/>
    <row r="352" s="52" customFormat="1" x14ac:dyDescent="0.25"/>
    <row r="353" s="52" customFormat="1" x14ac:dyDescent="0.25"/>
    <row r="354" s="52" customFormat="1" x14ac:dyDescent="0.25"/>
    <row r="355" s="52" customFormat="1" x14ac:dyDescent="0.25"/>
    <row r="356" s="52" customFormat="1" x14ac:dyDescent="0.25"/>
    <row r="357" s="52" customFormat="1" x14ac:dyDescent="0.25"/>
    <row r="358" s="52" customFormat="1" x14ac:dyDescent="0.25"/>
    <row r="359" s="52" customFormat="1" x14ac:dyDescent="0.25"/>
    <row r="360" s="52" customFormat="1" x14ac:dyDescent="0.25"/>
    <row r="361" s="52" customFormat="1" x14ac:dyDescent="0.25"/>
    <row r="362" s="52" customFormat="1" x14ac:dyDescent="0.25"/>
    <row r="363" s="52" customFormat="1" x14ac:dyDescent="0.25"/>
    <row r="364" s="52" customFormat="1" x14ac:dyDescent="0.25"/>
    <row r="365" s="52" customFormat="1" x14ac:dyDescent="0.25"/>
    <row r="366" s="52" customFormat="1" x14ac:dyDescent="0.25"/>
    <row r="367" s="52" customFormat="1" x14ac:dyDescent="0.25"/>
    <row r="368" s="52" customFormat="1" x14ac:dyDescent="0.25"/>
    <row r="369" s="52" customFormat="1" x14ac:dyDescent="0.25"/>
    <row r="370" s="52" customFormat="1" x14ac:dyDescent="0.25"/>
    <row r="371" s="52" customFormat="1" x14ac:dyDescent="0.25"/>
    <row r="372" s="52" customFormat="1" x14ac:dyDescent="0.25"/>
    <row r="373" s="52" customFormat="1" x14ac:dyDescent="0.25"/>
    <row r="374" s="52" customFormat="1" x14ac:dyDescent="0.25"/>
    <row r="375" s="52" customFormat="1" x14ac:dyDescent="0.25"/>
    <row r="376" s="52" customFormat="1" x14ac:dyDescent="0.25"/>
    <row r="377" s="52" customFormat="1" x14ac:dyDescent="0.25"/>
    <row r="378" s="52" customFormat="1" x14ac:dyDescent="0.25"/>
    <row r="379" s="52" customFormat="1" x14ac:dyDescent="0.25"/>
    <row r="380" s="52" customFormat="1" x14ac:dyDescent="0.25"/>
    <row r="381" s="52" customFormat="1" x14ac:dyDescent="0.25"/>
    <row r="382" s="52" customFormat="1" x14ac:dyDescent="0.25"/>
    <row r="383" s="52" customFormat="1" x14ac:dyDescent="0.25"/>
    <row r="384" s="52" customFormat="1" x14ac:dyDescent="0.25"/>
    <row r="385" s="52" customFormat="1" x14ac:dyDescent="0.25"/>
    <row r="386" s="52" customFormat="1" x14ac:dyDescent="0.25"/>
    <row r="387" s="52" customFormat="1" x14ac:dyDescent="0.25"/>
    <row r="388" s="52" customFormat="1" x14ac:dyDescent="0.25"/>
    <row r="389" s="52" customFormat="1" x14ac:dyDescent="0.25"/>
    <row r="390" s="52" customFormat="1" x14ac:dyDescent="0.25"/>
    <row r="391" s="52" customFormat="1" x14ac:dyDescent="0.25"/>
    <row r="392" s="52" customFormat="1" x14ac:dyDescent="0.25"/>
    <row r="393" s="52" customFormat="1" x14ac:dyDescent="0.25"/>
    <row r="394" s="52" customFormat="1" x14ac:dyDescent="0.25"/>
    <row r="395" s="52" customFormat="1" x14ac:dyDescent="0.25"/>
    <row r="396" s="52" customFormat="1" x14ac:dyDescent="0.25"/>
    <row r="397" s="52" customFormat="1" x14ac:dyDescent="0.25"/>
    <row r="398" s="52" customFormat="1" x14ac:dyDescent="0.25"/>
    <row r="399" s="52" customFormat="1" x14ac:dyDescent="0.25"/>
    <row r="400" s="52" customFormat="1" x14ac:dyDescent="0.25"/>
    <row r="401" s="52" customFormat="1" x14ac:dyDescent="0.25"/>
    <row r="402" s="52" customFormat="1" x14ac:dyDescent="0.25"/>
    <row r="403" s="52" customFormat="1" x14ac:dyDescent="0.25"/>
    <row r="404" s="52" customFormat="1" x14ac:dyDescent="0.25"/>
    <row r="405" s="52" customFormat="1" x14ac:dyDescent="0.25"/>
    <row r="406" s="52" customFormat="1" x14ac:dyDescent="0.25"/>
    <row r="407" s="52" customFormat="1" x14ac:dyDescent="0.25"/>
    <row r="408" s="52" customFormat="1" x14ac:dyDescent="0.25"/>
    <row r="409" s="52" customFormat="1" x14ac:dyDescent="0.25"/>
    <row r="410" s="52" customFormat="1" x14ac:dyDescent="0.25"/>
    <row r="411" s="52" customFormat="1" x14ac:dyDescent="0.25"/>
    <row r="412" s="52" customFormat="1" x14ac:dyDescent="0.25"/>
    <row r="413" s="52" customFormat="1" x14ac:dyDescent="0.25"/>
    <row r="414" s="52" customFormat="1" x14ac:dyDescent="0.25"/>
    <row r="415" s="52" customFormat="1" x14ac:dyDescent="0.25"/>
    <row r="416" s="52" customFormat="1" x14ac:dyDescent="0.25"/>
    <row r="417" s="52" customFormat="1" x14ac:dyDescent="0.25"/>
    <row r="418" s="52" customFormat="1" x14ac:dyDescent="0.25"/>
    <row r="419" s="52" customFormat="1" x14ac:dyDescent="0.25"/>
    <row r="420" s="52" customFormat="1" x14ac:dyDescent="0.25"/>
    <row r="421" s="52" customFormat="1" x14ac:dyDescent="0.25"/>
    <row r="422" s="52" customFormat="1" x14ac:dyDescent="0.25"/>
    <row r="423" s="52" customFormat="1" x14ac:dyDescent="0.25"/>
    <row r="424" s="52" customFormat="1" x14ac:dyDescent="0.25"/>
    <row r="425" s="52" customFormat="1" x14ac:dyDescent="0.25"/>
    <row r="426" s="52" customFormat="1" x14ac:dyDescent="0.25"/>
    <row r="427" s="52" customFormat="1" x14ac:dyDescent="0.25"/>
    <row r="428" s="52" customFormat="1" x14ac:dyDescent="0.25"/>
    <row r="429" s="52" customFormat="1" x14ac:dyDescent="0.25"/>
    <row r="430" s="52" customFormat="1" x14ac:dyDescent="0.25"/>
    <row r="431" s="52" customFormat="1" x14ac:dyDescent="0.25"/>
    <row r="432" s="52" customFormat="1" x14ac:dyDescent="0.25"/>
    <row r="433" s="52" customFormat="1" x14ac:dyDescent="0.25"/>
    <row r="434" s="52" customFormat="1" x14ac:dyDescent="0.25"/>
    <row r="435" s="52" customFormat="1" x14ac:dyDescent="0.25"/>
    <row r="436" s="52" customFormat="1" x14ac:dyDescent="0.25"/>
    <row r="437" s="52" customFormat="1" x14ac:dyDescent="0.25"/>
    <row r="438" s="52" customFormat="1" x14ac:dyDescent="0.25"/>
    <row r="439" s="52" customFormat="1" x14ac:dyDescent="0.25"/>
    <row r="440" s="52" customFormat="1" x14ac:dyDescent="0.25"/>
    <row r="441" s="52" customFormat="1" x14ac:dyDescent="0.25"/>
    <row r="442" s="52" customFormat="1" x14ac:dyDescent="0.25"/>
    <row r="443" s="52" customFormat="1" x14ac:dyDescent="0.25"/>
    <row r="444" s="52" customFormat="1" x14ac:dyDescent="0.25"/>
    <row r="445" s="52" customFormat="1" x14ac:dyDescent="0.25"/>
    <row r="446" s="52" customFormat="1" x14ac:dyDescent="0.25"/>
    <row r="447" s="52" customFormat="1" x14ac:dyDescent="0.25"/>
    <row r="448" s="52" customFormat="1" x14ac:dyDescent="0.25"/>
    <row r="449" s="52" customFormat="1" x14ac:dyDescent="0.25"/>
    <row r="450" s="52" customFormat="1" x14ac:dyDescent="0.25"/>
    <row r="451" s="52" customFormat="1" x14ac:dyDescent="0.25"/>
    <row r="452" s="52" customFormat="1" x14ac:dyDescent="0.25"/>
    <row r="453" s="52" customFormat="1" x14ac:dyDescent="0.25"/>
    <row r="454" s="52" customFormat="1" x14ac:dyDescent="0.25"/>
    <row r="455" s="52" customFormat="1" x14ac:dyDescent="0.25"/>
    <row r="456" s="52" customFormat="1" x14ac:dyDescent="0.25"/>
    <row r="457" s="52" customFormat="1" x14ac:dyDescent="0.25"/>
    <row r="458" s="52" customFormat="1" x14ac:dyDescent="0.25"/>
    <row r="459" s="52" customFormat="1" x14ac:dyDescent="0.25"/>
    <row r="460" s="52" customFormat="1" x14ac:dyDescent="0.25"/>
    <row r="461" s="52" customFormat="1" x14ac:dyDescent="0.25"/>
    <row r="462" s="52" customFormat="1" x14ac:dyDescent="0.25"/>
    <row r="463" s="52" customFormat="1" x14ac:dyDescent="0.25"/>
    <row r="464" s="52" customFormat="1" x14ac:dyDescent="0.25"/>
    <row r="465" s="52" customFormat="1" x14ac:dyDescent="0.25"/>
    <row r="466" s="52" customFormat="1" x14ac:dyDescent="0.25"/>
    <row r="467" s="52" customFormat="1" x14ac:dyDescent="0.25"/>
    <row r="468" s="52" customFormat="1" x14ac:dyDescent="0.25"/>
    <row r="469" s="52" customFormat="1" x14ac:dyDescent="0.25"/>
    <row r="470" s="52" customFormat="1" x14ac:dyDescent="0.25"/>
    <row r="471" s="52" customFormat="1" x14ac:dyDescent="0.25"/>
    <row r="472" s="52" customFormat="1" x14ac:dyDescent="0.25"/>
    <row r="473" s="52" customFormat="1" x14ac:dyDescent="0.25"/>
    <row r="474" s="52" customFormat="1" x14ac:dyDescent="0.25"/>
    <row r="475" s="52" customFormat="1" x14ac:dyDescent="0.25"/>
    <row r="476" s="52" customFormat="1" x14ac:dyDescent="0.25"/>
    <row r="477" s="52" customFormat="1" x14ac:dyDescent="0.25"/>
    <row r="478" s="52" customFormat="1" x14ac:dyDescent="0.25"/>
    <row r="479" s="52" customFormat="1" x14ac:dyDescent="0.25"/>
    <row r="480" s="52" customFormat="1" x14ac:dyDescent="0.25"/>
    <row r="481" s="52" customFormat="1" x14ac:dyDescent="0.25"/>
    <row r="482" s="52" customFormat="1" x14ac:dyDescent="0.25"/>
    <row r="483" s="52" customFormat="1" x14ac:dyDescent="0.25"/>
    <row r="484" s="52" customFormat="1" x14ac:dyDescent="0.25"/>
    <row r="485" s="52" customFormat="1" x14ac:dyDescent="0.25"/>
    <row r="486" s="52" customFormat="1" x14ac:dyDescent="0.25"/>
    <row r="487" s="52" customFormat="1" x14ac:dyDescent="0.25"/>
    <row r="488" s="52" customFormat="1" x14ac:dyDescent="0.25"/>
    <row r="489" s="52" customFormat="1" x14ac:dyDescent="0.25"/>
    <row r="490" s="52" customFormat="1" x14ac:dyDescent="0.25"/>
    <row r="491" s="52" customFormat="1" x14ac:dyDescent="0.25"/>
    <row r="492" s="52" customFormat="1" x14ac:dyDescent="0.25"/>
    <row r="493" s="52" customFormat="1" x14ac:dyDescent="0.25"/>
    <row r="494" s="52" customFormat="1" x14ac:dyDescent="0.25"/>
    <row r="495" s="52" customFormat="1" x14ac:dyDescent="0.25"/>
    <row r="496" s="52" customFormat="1" x14ac:dyDescent="0.25"/>
    <row r="497" s="52" customFormat="1" x14ac:dyDescent="0.25"/>
    <row r="498" s="52" customFormat="1" x14ac:dyDescent="0.25"/>
    <row r="499" s="52" customFormat="1" x14ac:dyDescent="0.25"/>
    <row r="500" s="52" customFormat="1" x14ac:dyDescent="0.25"/>
    <row r="501" s="52" customFormat="1" x14ac:dyDescent="0.25"/>
    <row r="502" s="52" customFormat="1" x14ac:dyDescent="0.25"/>
    <row r="503" s="52" customFormat="1" x14ac:dyDescent="0.25"/>
    <row r="504" s="52" customFormat="1" x14ac:dyDescent="0.25"/>
    <row r="505" s="52" customFormat="1" x14ac:dyDescent="0.25"/>
    <row r="506" s="52" customFormat="1" x14ac:dyDescent="0.25"/>
    <row r="507" s="52" customFormat="1" x14ac:dyDescent="0.25"/>
    <row r="508" s="52" customFormat="1" x14ac:dyDescent="0.25"/>
    <row r="509" s="52" customFormat="1" x14ac:dyDescent="0.25"/>
    <row r="510" s="52" customFormat="1" x14ac:dyDescent="0.25"/>
    <row r="511" s="52" customFormat="1" x14ac:dyDescent="0.25"/>
    <row r="512" s="52" customFormat="1" x14ac:dyDescent="0.25"/>
    <row r="513" s="52" customFormat="1" x14ac:dyDescent="0.25"/>
    <row r="514" s="52" customFormat="1" x14ac:dyDescent="0.25"/>
    <row r="515" s="52" customFormat="1" x14ac:dyDescent="0.25"/>
    <row r="516" s="52" customFormat="1" x14ac:dyDescent="0.25"/>
    <row r="517" s="52" customFormat="1" x14ac:dyDescent="0.25"/>
    <row r="518" s="52" customFormat="1" x14ac:dyDescent="0.25"/>
    <row r="519" s="52" customFormat="1" x14ac:dyDescent="0.25"/>
    <row r="520" s="52" customFormat="1" x14ac:dyDescent="0.25"/>
    <row r="521" s="52" customFormat="1" x14ac:dyDescent="0.25"/>
    <row r="522" s="52" customFormat="1" x14ac:dyDescent="0.25"/>
    <row r="523" s="52" customFormat="1" x14ac:dyDescent="0.25"/>
    <row r="524" s="52" customFormat="1" x14ac:dyDescent="0.25"/>
    <row r="525" s="52" customFormat="1" x14ac:dyDescent="0.25"/>
    <row r="526" s="52" customFormat="1" x14ac:dyDescent="0.25"/>
    <row r="527" s="52" customFormat="1" x14ac:dyDescent="0.25"/>
    <row r="528" s="52" customFormat="1" x14ac:dyDescent="0.25"/>
    <row r="529" s="52" customFormat="1" x14ac:dyDescent="0.25"/>
    <row r="530" s="52" customFormat="1" x14ac:dyDescent="0.25"/>
    <row r="531" s="52" customFormat="1" x14ac:dyDescent="0.25"/>
    <row r="532" s="52" customFormat="1" x14ac:dyDescent="0.25"/>
    <row r="533" s="52" customFormat="1" x14ac:dyDescent="0.25"/>
    <row r="534" s="52" customFormat="1" x14ac:dyDescent="0.25"/>
    <row r="535" s="52" customFormat="1" x14ac:dyDescent="0.25"/>
    <row r="536" s="52" customFormat="1" x14ac:dyDescent="0.25"/>
  </sheetData>
  <pageMargins left="0.7" right="0.7" top="0.75" bottom="0.75" header="0.3" footer="0.3"/>
  <headerFooter>
    <oddFooter>&amp;C_x000D_&amp;1#&amp;"Aptos"&amp;6&amp;K000000 ECP-INFORMACION PUBLICA</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159F1-AEFE-4C2C-A2AB-01E39E045AF2}">
  <dimension ref="A2:AK540"/>
  <sheetViews>
    <sheetView zoomScale="110" zoomScaleNormal="110" workbookViewId="0">
      <pane xSplit="7" ySplit="2" topLeftCell="H25" activePane="bottomRight" state="frozen"/>
      <selection pane="topRight" activeCell="N22" sqref="N22"/>
      <selection pane="bottomLeft" activeCell="N22" sqref="N22"/>
      <selection pane="bottomRight" activeCell="F36" sqref="F36"/>
    </sheetView>
  </sheetViews>
  <sheetFormatPr baseColWidth="10" defaultColWidth="11.42578125" defaultRowHeight="15" outlineLevelRow="1" x14ac:dyDescent="0.25"/>
  <cols>
    <col min="1" max="1" width="3.42578125" style="52" customWidth="1"/>
    <col min="2" max="2" width="41.28515625" customWidth="1"/>
    <col min="3" max="7" width="13.85546875" customWidth="1"/>
    <col min="8" max="11" width="13.85546875" hidden="1" customWidth="1"/>
    <col min="12" max="12" width="18.5703125" style="52" hidden="1" customWidth="1"/>
    <col min="13" max="13" width="13.85546875" hidden="1" customWidth="1"/>
    <col min="14" max="14" width="70.42578125" customWidth="1"/>
    <col min="15" max="15" width="17.85546875" style="52" bestFit="1" customWidth="1"/>
    <col min="16" max="16" width="15.5703125" style="52" bestFit="1" customWidth="1"/>
    <col min="17" max="37" width="11.42578125" style="52"/>
  </cols>
  <sheetData>
    <row r="2" spans="1:37" s="51" customFormat="1" x14ac:dyDescent="0.25">
      <c r="A2" s="31"/>
      <c r="B2" s="46" t="s">
        <v>0</v>
      </c>
      <c r="C2" s="47" t="s">
        <v>1</v>
      </c>
      <c r="D2" s="47" t="s">
        <v>2</v>
      </c>
      <c r="E2" s="47" t="s">
        <v>3</v>
      </c>
      <c r="F2" s="47" t="s">
        <v>4</v>
      </c>
      <c r="G2" s="47" t="s">
        <v>5</v>
      </c>
      <c r="H2" s="48" t="s">
        <v>6</v>
      </c>
      <c r="I2" s="48" t="s">
        <v>5</v>
      </c>
      <c r="J2" s="49" t="s">
        <v>7</v>
      </c>
      <c r="K2" s="49" t="s">
        <v>5</v>
      </c>
      <c r="L2" s="50" t="s">
        <v>8</v>
      </c>
      <c r="M2" s="50" t="s">
        <v>5</v>
      </c>
      <c r="N2" s="47" t="s">
        <v>9</v>
      </c>
      <c r="O2" s="31"/>
      <c r="P2" s="31"/>
      <c r="Q2" s="31"/>
      <c r="R2" s="31"/>
      <c r="S2" s="31"/>
      <c r="T2" s="31"/>
      <c r="U2" s="31"/>
      <c r="V2" s="31"/>
      <c r="W2" s="31"/>
      <c r="X2" s="31"/>
      <c r="Y2" s="31"/>
      <c r="Z2" s="31"/>
      <c r="AA2" s="31"/>
      <c r="AB2" s="31"/>
      <c r="AC2" s="31"/>
      <c r="AD2" s="31"/>
      <c r="AE2" s="31"/>
      <c r="AF2" s="31"/>
      <c r="AG2" s="31"/>
      <c r="AH2" s="31"/>
      <c r="AI2" s="31"/>
      <c r="AJ2" s="31"/>
      <c r="AK2" s="31"/>
    </row>
    <row r="3" spans="1:37" x14ac:dyDescent="0.25">
      <c r="B3" s="53" t="s">
        <v>10</v>
      </c>
      <c r="C3" s="93">
        <f>SUM(C4:C7)</f>
        <v>0</v>
      </c>
      <c r="D3" s="93">
        <f t="shared" ref="D3:F3" si="0">SUM(D4:D7)</f>
        <v>1063135</v>
      </c>
      <c r="E3" s="93">
        <f t="shared" si="0"/>
        <v>18586079</v>
      </c>
      <c r="F3" s="93">
        <f t="shared" si="0"/>
        <v>10308585</v>
      </c>
      <c r="G3" s="55">
        <f>+F3/$F$25</f>
        <v>0.89269842188050441</v>
      </c>
      <c r="H3" s="93">
        <f>SUM(H4:H7)</f>
        <v>21268425</v>
      </c>
      <c r="I3" s="55">
        <f>+H3/$H$25</f>
        <v>0.89144352033517738</v>
      </c>
      <c r="J3" s="93">
        <f>SUM(J4:J7)</f>
        <v>8232672.7699349588</v>
      </c>
      <c r="K3" s="55">
        <f t="shared" ref="K3:K25" si="1">+J3/$J$25</f>
        <v>0.85974571788076959</v>
      </c>
      <c r="L3" s="93">
        <f>SUM(L4:L7)</f>
        <v>22059967</v>
      </c>
      <c r="M3" s="55">
        <f t="shared" ref="M3:M25" si="2">+L3/$L$25</f>
        <v>0.92372669256315576</v>
      </c>
      <c r="N3" s="94"/>
    </row>
    <row r="4" spans="1:37" hidden="1" outlineLevel="1" x14ac:dyDescent="0.25">
      <c r="B4" s="57" t="s">
        <v>11</v>
      </c>
      <c r="C4" s="95" t="s">
        <v>12</v>
      </c>
      <c r="D4" s="95">
        <v>901557</v>
      </c>
      <c r="E4" s="95">
        <v>17682881</v>
      </c>
      <c r="F4" s="95">
        <v>9717636</v>
      </c>
      <c r="G4" s="59">
        <f t="shared" ref="G4:G27" si="3">+F4/$F$25</f>
        <v>0.84152367387077631</v>
      </c>
      <c r="H4" s="95">
        <v>20282545</v>
      </c>
      <c r="I4" s="59">
        <f t="shared" ref="I4:I25" si="4">+H4/$H$25</f>
        <v>0.85012140373143052</v>
      </c>
      <c r="J4" s="95">
        <v>7869677.3506395658</v>
      </c>
      <c r="K4" s="59">
        <f t="shared" si="1"/>
        <v>0.82183776671219488</v>
      </c>
      <c r="L4" s="95">
        <v>21250042</v>
      </c>
      <c r="M4" s="59">
        <f t="shared" si="2"/>
        <v>0.88981234711222124</v>
      </c>
      <c r="N4" s="96"/>
    </row>
    <row r="5" spans="1:37" hidden="1" outlineLevel="1" x14ac:dyDescent="0.25">
      <c r="B5" s="57" t="s">
        <v>13</v>
      </c>
      <c r="C5" s="95" t="s">
        <v>12</v>
      </c>
      <c r="D5" s="95">
        <v>38162</v>
      </c>
      <c r="E5" s="95">
        <v>172598</v>
      </c>
      <c r="F5" s="128">
        <v>128553</v>
      </c>
      <c r="G5" s="59">
        <f t="shared" si="3"/>
        <v>1.1132377550168571E-2</v>
      </c>
      <c r="H5" s="95">
        <v>50489</v>
      </c>
      <c r="I5" s="59">
        <f t="shared" si="4"/>
        <v>2.1161929902286029E-3</v>
      </c>
      <c r="J5" s="95">
        <v>43742.724444444444</v>
      </c>
      <c r="K5" s="59">
        <f t="shared" si="1"/>
        <v>4.5680936289475152E-3</v>
      </c>
      <c r="L5" s="95">
        <v>209140</v>
      </c>
      <c r="M5" s="59">
        <f t="shared" si="2"/>
        <v>8.7574111277074155E-3</v>
      </c>
      <c r="N5" s="97" t="s">
        <v>63</v>
      </c>
    </row>
    <row r="6" spans="1:37" hidden="1" outlineLevel="1" x14ac:dyDescent="0.25">
      <c r="B6" s="57" t="s">
        <v>15</v>
      </c>
      <c r="C6" s="95" t="s">
        <v>12</v>
      </c>
      <c r="D6" s="95">
        <v>123416</v>
      </c>
      <c r="E6" s="95">
        <v>301481</v>
      </c>
      <c r="F6" s="6">
        <f>186555+130841</f>
        <v>317396</v>
      </c>
      <c r="G6" s="59">
        <f t="shared" si="3"/>
        <v>2.7485722658462296E-2</v>
      </c>
      <c r="H6" s="95">
        <v>378390</v>
      </c>
      <c r="I6" s="59">
        <f t="shared" si="4"/>
        <v>1.585981630796017E-2</v>
      </c>
      <c r="J6" s="95">
        <v>160106.22168021681</v>
      </c>
      <c r="K6" s="59">
        <f t="shared" si="1"/>
        <v>1.6720042487091726E-2</v>
      </c>
      <c r="L6" s="95">
        <v>317396</v>
      </c>
      <c r="M6" s="59">
        <f t="shared" si="2"/>
        <v>1.3290462189393818E-2</v>
      </c>
      <c r="N6" s="97"/>
    </row>
    <row r="7" spans="1:37" hidden="1" outlineLevel="1" x14ac:dyDescent="0.25">
      <c r="B7" s="57" t="s">
        <v>16</v>
      </c>
      <c r="C7" s="95" t="s">
        <v>12</v>
      </c>
      <c r="D7" s="95" t="s">
        <v>17</v>
      </c>
      <c r="E7" s="95">
        <v>429119</v>
      </c>
      <c r="F7" s="6">
        <v>145000</v>
      </c>
      <c r="G7" s="59">
        <f t="shared" si="3"/>
        <v>1.2556647801097156E-2</v>
      </c>
      <c r="H7" s="95">
        <v>557001</v>
      </c>
      <c r="I7" s="59">
        <f t="shared" si="4"/>
        <v>2.3346107305558084E-2</v>
      </c>
      <c r="J7" s="95">
        <v>159146.47317073171</v>
      </c>
      <c r="K7" s="59">
        <f t="shared" si="1"/>
        <v>1.6619815052535403E-2</v>
      </c>
      <c r="L7" s="95">
        <v>283389</v>
      </c>
      <c r="M7" s="59">
        <f t="shared" si="2"/>
        <v>1.1866472133833208E-2</v>
      </c>
      <c r="N7" s="97"/>
    </row>
    <row r="8" spans="1:37" collapsed="1" x14ac:dyDescent="0.25">
      <c r="B8" s="53" t="s">
        <v>18</v>
      </c>
      <c r="C8" s="93">
        <f>SUM(C9:C14)</f>
        <v>0</v>
      </c>
      <c r="D8" s="93">
        <f t="shared" ref="D8:F8" si="5">SUM(D9:D14)</f>
        <v>366009</v>
      </c>
      <c r="E8" s="93">
        <f t="shared" si="5"/>
        <v>747556</v>
      </c>
      <c r="F8" s="93">
        <f t="shared" si="5"/>
        <v>299784</v>
      </c>
      <c r="G8" s="55">
        <f t="shared" si="3"/>
        <v>2.5960566237269726E-2</v>
      </c>
      <c r="H8" s="93">
        <f>SUM(H9:H14)</f>
        <v>1217567</v>
      </c>
      <c r="I8" s="55">
        <f t="shared" si="4"/>
        <v>5.1033031958122942E-2</v>
      </c>
      <c r="J8" s="93">
        <f>SUM(J9:J14)</f>
        <v>396381.26421680232</v>
      </c>
      <c r="K8" s="55">
        <f t="shared" si="1"/>
        <v>4.1394466181516168E-2</v>
      </c>
      <c r="L8" s="93">
        <f>SUM(L9:L14)</f>
        <v>617266</v>
      </c>
      <c r="M8" s="55">
        <f t="shared" si="2"/>
        <v>2.584705047889187E-2</v>
      </c>
      <c r="N8" s="129"/>
    </row>
    <row r="9" spans="1:37" hidden="1" outlineLevel="1" x14ac:dyDescent="0.25">
      <c r="B9" s="57" t="s">
        <v>19</v>
      </c>
      <c r="C9" s="95"/>
      <c r="D9" s="95">
        <v>188480</v>
      </c>
      <c r="E9" s="95">
        <v>188480</v>
      </c>
      <c r="F9" s="95"/>
      <c r="G9" s="59">
        <f t="shared" si="3"/>
        <v>0</v>
      </c>
      <c r="H9" s="95">
        <v>255996</v>
      </c>
      <c r="I9" s="59">
        <f t="shared" si="4"/>
        <v>1.0729801357257252E-2</v>
      </c>
      <c r="J9" s="95">
        <v>0</v>
      </c>
      <c r="K9" s="59">
        <f t="shared" si="1"/>
        <v>0</v>
      </c>
      <c r="L9" s="95"/>
      <c r="M9" s="59">
        <f t="shared" si="2"/>
        <v>0</v>
      </c>
      <c r="N9" s="97"/>
    </row>
    <row r="10" spans="1:37" hidden="1" outlineLevel="1" x14ac:dyDescent="0.25">
      <c r="B10" s="57" t="s">
        <v>20</v>
      </c>
      <c r="C10" s="95" t="s">
        <v>12</v>
      </c>
      <c r="D10" s="95">
        <v>177529</v>
      </c>
      <c r="E10" s="95">
        <v>187387</v>
      </c>
      <c r="F10" s="95">
        <v>202608</v>
      </c>
      <c r="G10" s="59">
        <f t="shared" si="3"/>
        <v>1.7545360673687536E-2</v>
      </c>
      <c r="H10" s="95">
        <f>194101+93995</f>
        <v>288096</v>
      </c>
      <c r="I10" s="59">
        <f t="shared" si="4"/>
        <v>1.207523887803085E-2</v>
      </c>
      <c r="J10" s="95">
        <v>220426.21968563701</v>
      </c>
      <c r="K10" s="59">
        <f t="shared" si="1"/>
        <v>2.3019316299737906E-2</v>
      </c>
      <c r="L10" s="95">
        <f>140624+75997+129388</f>
        <v>346009</v>
      </c>
      <c r="M10" s="59">
        <f t="shared" si="2"/>
        <v>1.4488586912531871E-2</v>
      </c>
      <c r="N10" s="97" t="s">
        <v>64</v>
      </c>
      <c r="O10" s="60"/>
      <c r="P10" s="61"/>
    </row>
    <row r="11" spans="1:37" hidden="1" outlineLevel="1" x14ac:dyDescent="0.25">
      <c r="B11" s="57" t="s">
        <v>22</v>
      </c>
      <c r="C11" s="95" t="s">
        <v>12</v>
      </c>
      <c r="D11" s="95" t="s">
        <v>17</v>
      </c>
      <c r="E11" s="95" t="s">
        <v>17</v>
      </c>
      <c r="F11" s="95"/>
      <c r="G11" s="59">
        <f t="shared" si="3"/>
        <v>0</v>
      </c>
      <c r="H11" s="95">
        <v>88889</v>
      </c>
      <c r="I11" s="59">
        <f t="shared" si="4"/>
        <v>3.7256883421820648E-3</v>
      </c>
      <c r="J11" s="95">
        <v>0</v>
      </c>
      <c r="K11" s="59">
        <f t="shared" si="1"/>
        <v>0</v>
      </c>
      <c r="L11" s="95"/>
      <c r="M11" s="59">
        <f t="shared" si="2"/>
        <v>0</v>
      </c>
      <c r="N11" s="97"/>
    </row>
    <row r="12" spans="1:37" hidden="1" outlineLevel="1" x14ac:dyDescent="0.25">
      <c r="B12" s="57" t="s">
        <v>23</v>
      </c>
      <c r="C12" s="95" t="s">
        <v>12</v>
      </c>
      <c r="D12" s="95" t="s">
        <v>17</v>
      </c>
      <c r="E12" s="95" t="s">
        <v>17</v>
      </c>
      <c r="F12" s="95"/>
      <c r="G12" s="59">
        <f t="shared" si="3"/>
        <v>0</v>
      </c>
      <c r="H12" s="95"/>
      <c r="I12" s="59">
        <f t="shared" si="4"/>
        <v>0</v>
      </c>
      <c r="J12" s="95">
        <v>0</v>
      </c>
      <c r="K12" s="59">
        <f t="shared" si="1"/>
        <v>0</v>
      </c>
      <c r="L12" s="95"/>
      <c r="M12" s="59">
        <f t="shared" si="2"/>
        <v>0</v>
      </c>
      <c r="N12" s="97"/>
    </row>
    <row r="13" spans="1:37" hidden="1" outlineLevel="1" x14ac:dyDescent="0.25">
      <c r="B13" s="57" t="s">
        <v>24</v>
      </c>
      <c r="C13" s="95" t="s">
        <v>12</v>
      </c>
      <c r="D13" s="95" t="s">
        <v>17</v>
      </c>
      <c r="E13" s="95">
        <v>371689</v>
      </c>
      <c r="F13" s="95">
        <v>97176</v>
      </c>
      <c r="G13" s="59">
        <f t="shared" si="3"/>
        <v>8.4152055635821881E-3</v>
      </c>
      <c r="H13" s="95">
        <v>584586</v>
      </c>
      <c r="I13" s="59">
        <f t="shared" si="4"/>
        <v>2.4502303380652776E-2</v>
      </c>
      <c r="J13" s="95">
        <v>175955.04453116533</v>
      </c>
      <c r="K13" s="59">
        <f t="shared" si="1"/>
        <v>1.8375149881778265E-2</v>
      </c>
      <c r="L13" s="95">
        <v>168528</v>
      </c>
      <c r="M13" s="59">
        <f t="shared" si="2"/>
        <v>7.0568470045437289E-3</v>
      </c>
      <c r="N13" s="97" t="s">
        <v>65</v>
      </c>
      <c r="O13" s="62"/>
      <c r="P13" s="62">
        <f>+J13/J4</f>
        <v>2.2358609723290058E-2</v>
      </c>
      <c r="R13" s="62">
        <f>+L13/L4</f>
        <v>7.9307137369422614E-3</v>
      </c>
    </row>
    <row r="14" spans="1:37" hidden="1" outlineLevel="1" x14ac:dyDescent="0.25">
      <c r="B14" s="57" t="s">
        <v>26</v>
      </c>
      <c r="C14" s="95" t="s">
        <v>12</v>
      </c>
      <c r="D14" s="95" t="s">
        <v>17</v>
      </c>
      <c r="E14" s="95" t="s">
        <v>17</v>
      </c>
      <c r="F14" s="95">
        <v>0</v>
      </c>
      <c r="G14" s="59">
        <f t="shared" si="3"/>
        <v>0</v>
      </c>
      <c r="H14" s="95"/>
      <c r="I14" s="59">
        <f t="shared" si="4"/>
        <v>0</v>
      </c>
      <c r="J14" s="95">
        <v>0</v>
      </c>
      <c r="K14" s="59">
        <f t="shared" si="1"/>
        <v>0</v>
      </c>
      <c r="L14" s="95">
        <v>102729</v>
      </c>
      <c r="M14" s="59">
        <f t="shared" si="2"/>
        <v>4.3016165618162717E-3</v>
      </c>
      <c r="N14" s="98"/>
    </row>
    <row r="15" spans="1:37" collapsed="1" x14ac:dyDescent="0.25">
      <c r="B15" s="53" t="s">
        <v>27</v>
      </c>
      <c r="C15" s="93">
        <f>SUM(C16:C24)</f>
        <v>0</v>
      </c>
      <c r="D15" s="93">
        <f t="shared" ref="D15:F15" si="6">SUM(D16:D24)</f>
        <v>321412</v>
      </c>
      <c r="E15" s="93">
        <f t="shared" si="6"/>
        <v>986985</v>
      </c>
      <c r="F15" s="93">
        <f t="shared" si="6"/>
        <v>939299</v>
      </c>
      <c r="G15" s="55">
        <f t="shared" si="3"/>
        <v>8.1341011882225922E-2</v>
      </c>
      <c r="H15" s="93">
        <f>SUM(H16:H24)</f>
        <v>1372418</v>
      </c>
      <c r="I15" s="55">
        <f t="shared" si="4"/>
        <v>5.7523447706699649E-2</v>
      </c>
      <c r="J15" s="93">
        <f>SUM(J16:J24)</f>
        <v>946652.59481300809</v>
      </c>
      <c r="K15" s="55">
        <f t="shared" si="1"/>
        <v>9.885981593771434E-2</v>
      </c>
      <c r="L15" s="93">
        <f>SUM(L16:L24)</f>
        <v>1204254</v>
      </c>
      <c r="M15" s="55">
        <f t="shared" si="2"/>
        <v>5.0426256957952408E-2</v>
      </c>
      <c r="N15" s="99"/>
      <c r="O15" s="100"/>
    </row>
    <row r="16" spans="1:37" hidden="1" outlineLevel="1" x14ac:dyDescent="0.25">
      <c r="B16" s="101" t="s">
        <v>28</v>
      </c>
      <c r="C16" s="95" t="s">
        <v>12</v>
      </c>
      <c r="D16" s="95">
        <v>68934</v>
      </c>
      <c r="E16" s="95">
        <v>252759</v>
      </c>
      <c r="F16" s="130">
        <v>198948</v>
      </c>
      <c r="G16" s="59">
        <f t="shared" si="3"/>
        <v>1.7228413563673634E-2</v>
      </c>
      <c r="H16" s="95">
        <v>298612</v>
      </c>
      <c r="I16" s="59">
        <f t="shared" si="4"/>
        <v>1.2516005886393938E-2</v>
      </c>
      <c r="J16" s="95">
        <v>220691.17004336044</v>
      </c>
      <c r="K16" s="59">
        <f t="shared" si="1"/>
        <v>2.3046985313419047E-2</v>
      </c>
      <c r="L16" s="95">
        <v>219641</v>
      </c>
      <c r="M16" s="59">
        <f t="shared" si="2"/>
        <v>9.1971241154288254E-3</v>
      </c>
      <c r="N16" s="97" t="s">
        <v>66</v>
      </c>
      <c r="O16" s="102"/>
      <c r="P16" s="52">
        <f>+O16*15/16</f>
        <v>0</v>
      </c>
    </row>
    <row r="17" spans="2:15" hidden="1" outlineLevel="1" x14ac:dyDescent="0.25">
      <c r="B17" s="101" t="s">
        <v>30</v>
      </c>
      <c r="C17" s="95" t="s">
        <v>12</v>
      </c>
      <c r="D17" s="95">
        <v>67090</v>
      </c>
      <c r="E17" s="96">
        <v>226596</v>
      </c>
      <c r="F17" s="131">
        <v>243820</v>
      </c>
      <c r="G17" s="132">
        <f t="shared" si="3"/>
        <v>2.1114219771472473E-2</v>
      </c>
      <c r="H17" s="95">
        <v>304120</v>
      </c>
      <c r="I17" s="59">
        <f t="shared" si="4"/>
        <v>1.2746867875939764E-2</v>
      </c>
      <c r="J17" s="95">
        <v>219395.4613387534</v>
      </c>
      <c r="K17" s="59">
        <f t="shared" si="1"/>
        <v>2.2911673241442266E-2</v>
      </c>
      <c r="L17" s="95">
        <f>280137-26000</f>
        <v>254137</v>
      </c>
      <c r="M17" s="59">
        <f t="shared" si="2"/>
        <v>1.0641590282883138E-2</v>
      </c>
      <c r="N17" s="97" t="s">
        <v>67</v>
      </c>
    </row>
    <row r="18" spans="2:15" hidden="1" outlineLevel="1" x14ac:dyDescent="0.25">
      <c r="B18" s="101" t="s">
        <v>32</v>
      </c>
      <c r="C18" s="95" t="s">
        <v>12</v>
      </c>
      <c r="D18" s="95">
        <v>17663</v>
      </c>
      <c r="E18" s="96">
        <v>52988</v>
      </c>
      <c r="F18" s="131">
        <v>73425</v>
      </c>
      <c r="G18" s="132">
        <f t="shared" si="3"/>
        <v>6.3584266537624742E-3</v>
      </c>
      <c r="H18" s="95">
        <v>75007</v>
      </c>
      <c r="I18" s="59">
        <f t="shared" si="4"/>
        <v>3.1438390068743056E-3</v>
      </c>
      <c r="J18" s="95">
        <v>67782.657078590782</v>
      </c>
      <c r="K18" s="59">
        <f t="shared" si="1"/>
        <v>7.0786062799334925E-3</v>
      </c>
      <c r="L18" s="95">
        <f>92643-12000</f>
        <v>80643</v>
      </c>
      <c r="M18" s="59">
        <f t="shared" si="2"/>
        <v>3.3767997780037736E-3</v>
      </c>
      <c r="N18" s="97" t="s">
        <v>68</v>
      </c>
    </row>
    <row r="19" spans="2:15" hidden="1" outlineLevel="1" x14ac:dyDescent="0.25">
      <c r="B19" s="101" t="s">
        <v>34</v>
      </c>
      <c r="C19" s="95" t="s">
        <v>12</v>
      </c>
      <c r="D19" s="95" t="s">
        <v>17</v>
      </c>
      <c r="E19" s="96" t="s">
        <v>17</v>
      </c>
      <c r="F19" s="131"/>
      <c r="G19" s="132">
        <f t="shared" si="3"/>
        <v>0</v>
      </c>
      <c r="H19" s="95">
        <v>23175</v>
      </c>
      <c r="I19" s="59">
        <f t="shared" si="4"/>
        <v>9.7135559326878861E-4</v>
      </c>
      <c r="J19" s="95">
        <v>0</v>
      </c>
      <c r="K19" s="59">
        <f t="shared" si="1"/>
        <v>0</v>
      </c>
      <c r="L19" s="95">
        <v>0</v>
      </c>
      <c r="M19" s="59">
        <f t="shared" si="2"/>
        <v>0</v>
      </c>
      <c r="N19" s="97"/>
      <c r="O19" s="60"/>
    </row>
    <row r="20" spans="2:15" hidden="1" outlineLevel="1" x14ac:dyDescent="0.25">
      <c r="B20" s="57" t="s">
        <v>35</v>
      </c>
      <c r="C20" s="95" t="s">
        <v>12</v>
      </c>
      <c r="D20" s="95">
        <v>25199</v>
      </c>
      <c r="E20" s="96">
        <v>75596</v>
      </c>
      <c r="F20" s="131">
        <v>80171</v>
      </c>
      <c r="G20" s="132">
        <f t="shared" si="3"/>
        <v>6.942613868012139E-3</v>
      </c>
      <c r="H20" s="95">
        <v>70760</v>
      </c>
      <c r="I20" s="59">
        <f t="shared" si="4"/>
        <v>2.9658304975059111E-3</v>
      </c>
      <c r="J20" s="95">
        <v>52150.901441734415</v>
      </c>
      <c r="K20" s="59">
        <f t="shared" si="1"/>
        <v>5.4461674174506808E-3</v>
      </c>
      <c r="L20" s="95">
        <f>97802-13000</f>
        <v>84802</v>
      </c>
      <c r="M20" s="59">
        <f t="shared" si="2"/>
        <v>3.5509514126988826E-3</v>
      </c>
      <c r="N20" s="97" t="s">
        <v>69</v>
      </c>
    </row>
    <row r="21" spans="2:15" hidden="1" outlineLevel="1" x14ac:dyDescent="0.25">
      <c r="B21" s="57" t="s">
        <v>37</v>
      </c>
      <c r="C21" s="95" t="s">
        <v>12</v>
      </c>
      <c r="D21" s="95">
        <v>39357</v>
      </c>
      <c r="E21" s="96">
        <v>118070</v>
      </c>
      <c r="F21" s="131">
        <v>94733</v>
      </c>
      <c r="G21" s="132">
        <f t="shared" si="3"/>
        <v>8.2036476975264616E-3</v>
      </c>
      <c r="H21" s="95">
        <v>118049</v>
      </c>
      <c r="I21" s="59">
        <f t="shared" si="4"/>
        <v>4.9478988750717252E-3</v>
      </c>
      <c r="J21" s="95">
        <v>108729.03730081301</v>
      </c>
      <c r="K21" s="59">
        <f t="shared" si="1"/>
        <v>1.1354675066164567E-2</v>
      </c>
      <c r="L21" s="95">
        <v>162113</v>
      </c>
      <c r="M21" s="59">
        <f t="shared" si="2"/>
        <v>6.7882288904371826E-3</v>
      </c>
      <c r="N21" s="97" t="s">
        <v>70</v>
      </c>
    </row>
    <row r="22" spans="2:15" hidden="1" outlineLevel="1" x14ac:dyDescent="0.25">
      <c r="B22" s="57" t="s">
        <v>39</v>
      </c>
      <c r="C22" s="95" t="s">
        <v>12</v>
      </c>
      <c r="D22" s="95">
        <v>62640</v>
      </c>
      <c r="E22" s="95">
        <v>187921</v>
      </c>
      <c r="F22" s="133">
        <v>171424</v>
      </c>
      <c r="G22" s="59">
        <f t="shared" si="3"/>
        <v>1.4844902018312268E-2</v>
      </c>
      <c r="H22" s="95">
        <v>308990</v>
      </c>
      <c r="I22" s="59">
        <f t="shared" si="4"/>
        <v>1.2950988770835944E-2</v>
      </c>
      <c r="J22" s="95">
        <v>157456.84724119242</v>
      </c>
      <c r="K22" s="59">
        <f t="shared" si="1"/>
        <v>1.6443365836304354E-2</v>
      </c>
      <c r="L22" s="95">
        <v>325000</v>
      </c>
      <c r="M22" s="59">
        <f t="shared" si="2"/>
        <v>1.3608867823012863E-2</v>
      </c>
      <c r="N22" s="97" t="s">
        <v>71</v>
      </c>
    </row>
    <row r="23" spans="2:15" hidden="1" outlineLevel="1" x14ac:dyDescent="0.25">
      <c r="B23" s="101" t="s">
        <v>41</v>
      </c>
      <c r="C23" s="95"/>
      <c r="D23" s="95">
        <v>17663</v>
      </c>
      <c r="E23" s="95">
        <v>35326</v>
      </c>
      <c r="F23" s="95">
        <v>49949</v>
      </c>
      <c r="G23" s="59">
        <f t="shared" si="3"/>
        <v>4.3254620759793231E-3</v>
      </c>
      <c r="H23" s="95">
        <v>89798</v>
      </c>
      <c r="I23" s="59">
        <f t="shared" si="4"/>
        <v>3.7637881149665884E-3</v>
      </c>
      <c r="J23" s="95">
        <v>60975.609756097561</v>
      </c>
      <c r="K23" s="59">
        <f t="shared" si="1"/>
        <v>6.3677399610027156E-3</v>
      </c>
      <c r="L23" s="95">
        <v>0</v>
      </c>
      <c r="M23" s="59">
        <f t="shared" si="2"/>
        <v>0</v>
      </c>
      <c r="N23" s="97" t="s">
        <v>72</v>
      </c>
    </row>
    <row r="24" spans="2:15" hidden="1" outlineLevel="1" x14ac:dyDescent="0.25">
      <c r="B24" s="57" t="s">
        <v>43</v>
      </c>
      <c r="C24" s="95" t="s">
        <v>12</v>
      </c>
      <c r="D24" s="95">
        <v>22866</v>
      </c>
      <c r="E24" s="95">
        <v>37729</v>
      </c>
      <c r="F24" s="95">
        <v>26829</v>
      </c>
      <c r="G24" s="59">
        <f t="shared" si="3"/>
        <v>2.3233262334871421E-3</v>
      </c>
      <c r="H24" s="95">
        <v>83907</v>
      </c>
      <c r="I24" s="59">
        <f t="shared" si="4"/>
        <v>3.516873085842686E-3</v>
      </c>
      <c r="J24" s="95">
        <v>59470.910612466134</v>
      </c>
      <c r="K24" s="59">
        <f t="shared" si="1"/>
        <v>6.2106028219972255E-3</v>
      </c>
      <c r="L24" s="95">
        <v>77918</v>
      </c>
      <c r="M24" s="59">
        <f t="shared" si="2"/>
        <v>3.2626946554877427E-3</v>
      </c>
      <c r="N24" s="97" t="s">
        <v>73</v>
      </c>
      <c r="O24" s="60"/>
    </row>
    <row r="25" spans="2:15" collapsed="1" x14ac:dyDescent="0.25">
      <c r="B25" s="64" t="s">
        <v>45</v>
      </c>
      <c r="C25" s="106">
        <f>+C3+C8+C15</f>
        <v>0</v>
      </c>
      <c r="D25" s="106">
        <f t="shared" ref="D25:F25" si="7">+D3+D8+D15</f>
        <v>1750556</v>
      </c>
      <c r="E25" s="106">
        <f t="shared" si="7"/>
        <v>20320620</v>
      </c>
      <c r="F25" s="106">
        <f t="shared" si="7"/>
        <v>11547668</v>
      </c>
      <c r="G25" s="66">
        <f t="shared" si="3"/>
        <v>1</v>
      </c>
      <c r="H25" s="107">
        <f>+H3+H8+H15</f>
        <v>23858410</v>
      </c>
      <c r="I25" s="108">
        <f t="shared" si="4"/>
        <v>1</v>
      </c>
      <c r="J25" s="109">
        <f>+J3+J8+J15</f>
        <v>9575706.6289647687</v>
      </c>
      <c r="K25" s="110">
        <f t="shared" si="1"/>
        <v>1</v>
      </c>
      <c r="L25" s="111">
        <f>+L3+L8+L15</f>
        <v>23881487</v>
      </c>
      <c r="M25" s="112">
        <f t="shared" si="2"/>
        <v>1</v>
      </c>
      <c r="N25" s="106"/>
    </row>
    <row r="26" spans="2:15" hidden="1" outlineLevel="1" x14ac:dyDescent="0.25">
      <c r="B26" s="69" t="s">
        <v>46</v>
      </c>
      <c r="C26" s="113">
        <v>0</v>
      </c>
      <c r="D26" s="113">
        <f>+D25*0.15</f>
        <v>262583.39999999997</v>
      </c>
      <c r="E26" s="113">
        <f>+E25*0.15</f>
        <v>3048093</v>
      </c>
      <c r="F26" s="113">
        <f>+F25*G26</f>
        <v>1154766.8</v>
      </c>
      <c r="G26" s="71">
        <v>0.1</v>
      </c>
      <c r="H26" s="113">
        <v>0</v>
      </c>
      <c r="I26" s="71">
        <f>+H26/H25</f>
        <v>0</v>
      </c>
      <c r="J26" s="113">
        <v>0</v>
      </c>
      <c r="K26" s="71">
        <f>+J26/J25</f>
        <v>0</v>
      </c>
      <c r="L26" s="113">
        <v>493025</v>
      </c>
      <c r="M26" s="71">
        <f>+L26/L25</f>
        <v>2.0644652487510514E-2</v>
      </c>
      <c r="N26" s="114"/>
    </row>
    <row r="27" spans="2:15" collapsed="1" x14ac:dyDescent="0.25">
      <c r="B27" s="73" t="s">
        <v>47</v>
      </c>
      <c r="C27" s="115">
        <f t="shared" ref="C27:F27" si="8">+C25+C26</f>
        <v>0</v>
      </c>
      <c r="D27" s="115">
        <f t="shared" si="8"/>
        <v>2013139.4</v>
      </c>
      <c r="E27" s="115">
        <f t="shared" si="8"/>
        <v>23368713</v>
      </c>
      <c r="F27" s="115">
        <f t="shared" si="8"/>
        <v>12702434.800000001</v>
      </c>
      <c r="G27" s="75">
        <f t="shared" si="3"/>
        <v>1.1000000000000001</v>
      </c>
      <c r="H27" s="116">
        <f>+H25+H26</f>
        <v>23858410</v>
      </c>
      <c r="I27" s="117">
        <f>+I25+I26</f>
        <v>1</v>
      </c>
      <c r="J27" s="118">
        <f t="shared" ref="J27:K27" si="9">+J25+J26</f>
        <v>9575706.6289647687</v>
      </c>
      <c r="K27" s="119">
        <f t="shared" si="9"/>
        <v>1</v>
      </c>
      <c r="L27" s="120">
        <f>+L25+L26</f>
        <v>24374512</v>
      </c>
      <c r="M27" s="121">
        <f>+M25+M26</f>
        <v>1.0206446524875106</v>
      </c>
      <c r="N27" s="115"/>
    </row>
    <row r="28" spans="2:15" s="52" customFormat="1" x14ac:dyDescent="0.25">
      <c r="F28" s="78"/>
      <c r="G28" s="78"/>
      <c r="H28" s="78"/>
      <c r="I28" s="78"/>
      <c r="J28" s="78"/>
      <c r="K28" s="78"/>
      <c r="M28" s="78"/>
      <c r="N28" s="78"/>
    </row>
    <row r="29" spans="2:15" s="82" customFormat="1" x14ac:dyDescent="0.25">
      <c r="B29" s="73" t="s">
        <v>48</v>
      </c>
      <c r="C29" s="115"/>
      <c r="D29" s="115"/>
      <c r="E29" s="115"/>
      <c r="F29" s="79">
        <v>82</v>
      </c>
      <c r="G29" s="79"/>
      <c r="H29" s="80">
        <v>312</v>
      </c>
      <c r="I29" s="80"/>
      <c r="J29" s="81">
        <v>101</v>
      </c>
      <c r="K29" s="81"/>
      <c r="L29" s="122">
        <v>193</v>
      </c>
      <c r="M29" s="122"/>
      <c r="N29" s="79"/>
    </row>
    <row r="30" spans="2:15" s="82" customFormat="1" x14ac:dyDescent="0.25">
      <c r="B30" s="53" t="s">
        <v>49</v>
      </c>
      <c r="C30" s="93"/>
      <c r="D30" s="93"/>
      <c r="E30" s="93"/>
      <c r="F30" s="93">
        <f>+F4/F29</f>
        <v>118507.75609756098</v>
      </c>
      <c r="G30" s="55"/>
      <c r="H30" s="93">
        <f>+H4/H29</f>
        <v>65008.157051282054</v>
      </c>
      <c r="I30" s="55"/>
      <c r="J30" s="93">
        <f>+J4/J29</f>
        <v>77917.597531084815</v>
      </c>
      <c r="K30" s="55"/>
      <c r="L30" s="93">
        <f>+L4/L29</f>
        <v>110103.84455958549</v>
      </c>
      <c r="M30" s="55"/>
      <c r="N30" s="55"/>
    </row>
    <row r="31" spans="2:15" s="82" customFormat="1" x14ac:dyDescent="0.25">
      <c r="B31" s="73" t="s">
        <v>50</v>
      </c>
      <c r="C31" s="115"/>
      <c r="D31" s="115"/>
      <c r="E31" s="115"/>
      <c r="F31" s="115">
        <f>+F25/F29</f>
        <v>140825.21951219512</v>
      </c>
      <c r="G31" s="75">
        <f>+(F31-F30)/F30</f>
        <v>0.18832069857319203</v>
      </c>
      <c r="H31" s="116">
        <f>+H25/H29</f>
        <v>76469.262820512828</v>
      </c>
      <c r="I31" s="117">
        <f>+(H31-H30)/H30</f>
        <v>0.17630257938537797</v>
      </c>
      <c r="J31" s="118">
        <f>+J25/J29</f>
        <v>94808.976524403653</v>
      </c>
      <c r="K31" s="119">
        <f>+(J31-J30)/J30</f>
        <v>0.21678516187027086</v>
      </c>
      <c r="L31" s="120">
        <f>+L25/L29</f>
        <v>123738.27461139897</v>
      </c>
      <c r="M31" s="121">
        <f>+(L31-L30)/L30</f>
        <v>0.12383246113113577</v>
      </c>
      <c r="N31" s="75"/>
    </row>
    <row r="32" spans="2:15" s="127" customFormat="1" x14ac:dyDescent="0.25">
      <c r="B32" s="123"/>
      <c r="C32" s="124"/>
      <c r="D32" s="124"/>
      <c r="E32" s="124"/>
      <c r="F32" s="124"/>
      <c r="G32" s="125"/>
      <c r="H32" s="124"/>
      <c r="I32" s="125"/>
      <c r="J32" s="124"/>
      <c r="K32" s="126"/>
      <c r="L32" s="124"/>
      <c r="M32" s="125"/>
      <c r="N32" s="125"/>
    </row>
    <row r="33" spans="2:16" s="82" customFormat="1" x14ac:dyDescent="0.25">
      <c r="B33" s="73" t="s">
        <v>74</v>
      </c>
      <c r="C33" s="115"/>
      <c r="D33" s="115"/>
      <c r="E33" s="115"/>
      <c r="F33" s="79"/>
      <c r="G33" s="79"/>
      <c r="H33" s="80"/>
      <c r="I33" s="80"/>
      <c r="J33" s="81"/>
      <c r="K33" s="81"/>
      <c r="L33" s="122"/>
      <c r="M33" s="122"/>
      <c r="N33" s="79"/>
    </row>
    <row r="34" spans="2:16" s="82" customFormat="1" x14ac:dyDescent="0.25">
      <c r="B34" s="53" t="s">
        <v>75</v>
      </c>
      <c r="C34" s="93"/>
      <c r="D34" s="93"/>
      <c r="E34" s="93"/>
      <c r="F34" s="93">
        <v>690714</v>
      </c>
      <c r="G34" s="55"/>
      <c r="H34" s="93"/>
      <c r="I34" s="55"/>
      <c r="J34" s="93"/>
      <c r="K34" s="55"/>
      <c r="L34" s="93"/>
      <c r="M34" s="55"/>
      <c r="N34" s="55"/>
    </row>
    <row r="35" spans="2:16" s="82" customFormat="1" x14ac:dyDescent="0.25">
      <c r="B35" s="73" t="s">
        <v>76</v>
      </c>
      <c r="C35" s="115"/>
      <c r="D35" s="115"/>
      <c r="E35" s="115"/>
      <c r="F35" s="115">
        <f>F25+F34</f>
        <v>12238382</v>
      </c>
      <c r="G35" s="75"/>
      <c r="H35" s="116"/>
      <c r="I35" s="117"/>
      <c r="J35" s="118"/>
      <c r="K35" s="119"/>
      <c r="L35" s="120"/>
      <c r="M35" s="121"/>
      <c r="N35" s="75"/>
    </row>
    <row r="36" spans="2:16" s="82" customFormat="1" x14ac:dyDescent="0.25">
      <c r="B36" s="134"/>
      <c r="F36" s="135"/>
      <c r="G36" s="84"/>
      <c r="H36" s="85"/>
      <c r="I36" s="84"/>
      <c r="J36" s="85"/>
      <c r="K36" s="84"/>
      <c r="L36" s="85"/>
      <c r="M36" s="84"/>
    </row>
    <row r="37" spans="2:16" s="52" customFormat="1" x14ac:dyDescent="0.25">
      <c r="B37" s="52" t="s">
        <v>51</v>
      </c>
      <c r="F37" s="78">
        <v>15</v>
      </c>
      <c r="H37" s="78"/>
      <c r="I37" s="78"/>
      <c r="J37" s="78"/>
      <c r="K37" s="78"/>
      <c r="M37" s="78"/>
      <c r="N37" s="78"/>
    </row>
    <row r="38" spans="2:16" s="52" customFormat="1" x14ac:dyDescent="0.25">
      <c r="B38" s="52" t="s">
        <v>52</v>
      </c>
      <c r="F38" s="78">
        <v>4100</v>
      </c>
      <c r="G38" s="78"/>
      <c r="H38" s="78"/>
      <c r="I38" s="78"/>
      <c r="J38" s="78"/>
      <c r="K38" s="78"/>
      <c r="M38" s="78"/>
      <c r="N38" s="78"/>
    </row>
    <row r="39" spans="2:16" s="52" customFormat="1" x14ac:dyDescent="0.25">
      <c r="B39" s="52" t="s">
        <v>53</v>
      </c>
      <c r="F39" s="86">
        <v>0.08</v>
      </c>
      <c r="G39" s="78"/>
      <c r="H39" s="78"/>
      <c r="I39" s="78"/>
      <c r="J39" s="78"/>
      <c r="K39" s="78"/>
      <c r="M39" s="78"/>
      <c r="N39" s="78"/>
    </row>
    <row r="40" spans="2:16" s="52" customFormat="1" x14ac:dyDescent="0.25">
      <c r="B40" s="87" t="s">
        <v>54</v>
      </c>
    </row>
    <row r="41" spans="2:16" s="52" customFormat="1" x14ac:dyDescent="0.25">
      <c r="B41" s="88" t="s">
        <v>55</v>
      </c>
    </row>
    <row r="42" spans="2:16" s="52" customFormat="1" x14ac:dyDescent="0.25">
      <c r="B42" s="88" t="s">
        <v>56</v>
      </c>
    </row>
    <row r="43" spans="2:16" s="52" customFormat="1" x14ac:dyDescent="0.25">
      <c r="B43" s="88" t="s">
        <v>77</v>
      </c>
      <c r="K43" s="89"/>
    </row>
    <row r="44" spans="2:16" s="52" customFormat="1" x14ac:dyDescent="0.25">
      <c r="B44" s="88" t="s">
        <v>78</v>
      </c>
    </row>
    <row r="45" spans="2:16" s="52" customFormat="1" x14ac:dyDescent="0.25">
      <c r="B45" s="88" t="s">
        <v>79</v>
      </c>
      <c r="O45" s="61">
        <v>17.399999999999999</v>
      </c>
      <c r="P45" s="52" t="s">
        <v>60</v>
      </c>
    </row>
    <row r="46" spans="2:16" s="52" customFormat="1" x14ac:dyDescent="0.25">
      <c r="B46" s="88"/>
      <c r="O46" s="61">
        <v>1.7</v>
      </c>
      <c r="P46" s="52" t="s">
        <v>61</v>
      </c>
    </row>
    <row r="47" spans="2:16" s="52" customFormat="1" x14ac:dyDescent="0.25">
      <c r="B47" s="88"/>
      <c r="O47" s="61">
        <f>+O45+O46</f>
        <v>19.099999999999998</v>
      </c>
    </row>
    <row r="48" spans="2:16" s="52" customFormat="1" x14ac:dyDescent="0.25">
      <c r="B48" s="88"/>
      <c r="N48" s="90">
        <v>0.05</v>
      </c>
      <c r="O48" s="61">
        <f>+O47*N48</f>
        <v>0.95499999999999996</v>
      </c>
      <c r="P48" s="52" t="s">
        <v>62</v>
      </c>
    </row>
    <row r="49" spans="2:15" s="52" customFormat="1" x14ac:dyDescent="0.25">
      <c r="B49" s="88"/>
      <c r="O49" s="61">
        <f>+O47+O48</f>
        <v>20.054999999999996</v>
      </c>
    </row>
    <row r="50" spans="2:15" s="52" customFormat="1" x14ac:dyDescent="0.25">
      <c r="B50" s="88"/>
    </row>
    <row r="51" spans="2:15" s="52" customFormat="1" x14ac:dyDescent="0.25">
      <c r="B51" s="88"/>
    </row>
    <row r="52" spans="2:15" s="52" customFormat="1" x14ac:dyDescent="0.25">
      <c r="B52" s="88"/>
    </row>
    <row r="53" spans="2:15" s="52" customFormat="1" x14ac:dyDescent="0.25">
      <c r="B53" s="88"/>
    </row>
    <row r="54" spans="2:15" s="52" customFormat="1" x14ac:dyDescent="0.25">
      <c r="B54" s="88"/>
    </row>
    <row r="55" spans="2:15" s="52" customFormat="1" x14ac:dyDescent="0.25">
      <c r="B55" s="88"/>
    </row>
    <row r="56" spans="2:15" s="52" customFormat="1" x14ac:dyDescent="0.25"/>
    <row r="57" spans="2:15" s="52" customFormat="1" x14ac:dyDescent="0.25">
      <c r="F57" s="78"/>
      <c r="G57" s="78"/>
      <c r="H57" s="78"/>
      <c r="I57" s="78"/>
    </row>
    <row r="58" spans="2:15" s="52" customFormat="1" x14ac:dyDescent="0.25">
      <c r="F58" s="78"/>
      <c r="G58" s="78"/>
      <c r="H58" s="78"/>
      <c r="I58" s="78"/>
      <c r="J58" s="78"/>
    </row>
    <row r="59" spans="2:15" s="92" customFormat="1" x14ac:dyDescent="0.25">
      <c r="B59" s="52"/>
      <c r="C59" s="52"/>
      <c r="D59" s="52"/>
      <c r="E59" s="52"/>
      <c r="F59" s="78"/>
      <c r="G59" s="78"/>
      <c r="H59" s="78"/>
      <c r="I59" s="78"/>
      <c r="J59" s="78"/>
      <c r="K59" s="78"/>
      <c r="M59" s="78"/>
      <c r="N59" s="78"/>
    </row>
    <row r="60" spans="2:15" s="92" customFormat="1" x14ac:dyDescent="0.25">
      <c r="B60" s="52"/>
      <c r="C60" s="52"/>
      <c r="D60" s="52"/>
      <c r="E60" s="52"/>
      <c r="F60" s="78"/>
      <c r="G60" s="78"/>
      <c r="H60" s="78"/>
      <c r="I60" s="78"/>
      <c r="J60" s="78"/>
      <c r="K60" s="78"/>
      <c r="M60" s="78"/>
      <c r="N60" s="78"/>
    </row>
    <row r="61" spans="2:15" s="92" customFormat="1" x14ac:dyDescent="0.25">
      <c r="B61" s="52"/>
      <c r="C61" s="52"/>
      <c r="D61" s="52"/>
      <c r="E61" s="52"/>
      <c r="F61" s="78"/>
      <c r="G61" s="78"/>
      <c r="H61" s="78"/>
      <c r="I61" s="78"/>
      <c r="J61" s="78"/>
      <c r="K61" s="78"/>
      <c r="M61" s="78"/>
      <c r="N61" s="78"/>
    </row>
    <row r="62" spans="2:15" s="92" customFormat="1" x14ac:dyDescent="0.25">
      <c r="B62" s="52"/>
      <c r="C62" s="52"/>
      <c r="D62" s="52"/>
      <c r="E62" s="52"/>
      <c r="F62" s="78"/>
      <c r="G62" s="78"/>
      <c r="H62" s="78"/>
      <c r="I62" s="78"/>
      <c r="J62" s="78"/>
      <c r="K62" s="78"/>
      <c r="M62" s="78"/>
      <c r="N62" s="78"/>
    </row>
    <row r="63" spans="2:15" s="92" customFormat="1" x14ac:dyDescent="0.25">
      <c r="B63" s="52"/>
      <c r="C63" s="52"/>
      <c r="D63" s="52"/>
      <c r="E63" s="52"/>
      <c r="F63" s="78"/>
      <c r="G63" s="78"/>
      <c r="H63" s="78"/>
      <c r="I63" s="78"/>
      <c r="J63" s="78"/>
      <c r="K63" s="78"/>
      <c r="M63" s="78"/>
      <c r="N63" s="78"/>
    </row>
    <row r="64" spans="2:15" s="92" customFormat="1" x14ac:dyDescent="0.25">
      <c r="B64" s="52"/>
      <c r="C64" s="52"/>
      <c r="D64" s="52"/>
      <c r="E64" s="52"/>
      <c r="F64" s="78"/>
      <c r="G64" s="78"/>
      <c r="H64" s="78"/>
      <c r="I64" s="78"/>
      <c r="J64" s="78"/>
      <c r="K64" s="78"/>
      <c r="M64" s="78"/>
      <c r="N64" s="78"/>
    </row>
    <row r="65" spans="2:14" s="92" customFormat="1" x14ac:dyDescent="0.25">
      <c r="B65" s="52"/>
      <c r="C65" s="52"/>
      <c r="D65" s="52"/>
      <c r="E65" s="52"/>
      <c r="F65" s="78"/>
      <c r="G65" s="78"/>
      <c r="H65" s="78"/>
      <c r="I65" s="78"/>
      <c r="J65" s="78"/>
      <c r="K65" s="78"/>
      <c r="M65" s="78"/>
      <c r="N65" s="78"/>
    </row>
    <row r="66" spans="2:14" s="92" customFormat="1" x14ac:dyDescent="0.25">
      <c r="B66" s="52"/>
      <c r="C66" s="52"/>
      <c r="D66" s="52"/>
      <c r="E66" s="52"/>
      <c r="F66" s="78"/>
      <c r="G66" s="78"/>
      <c r="H66" s="78"/>
      <c r="I66" s="78"/>
      <c r="J66" s="78"/>
      <c r="K66" s="78"/>
      <c r="M66" s="78"/>
      <c r="N66" s="78"/>
    </row>
    <row r="67" spans="2:14" s="92" customFormat="1" x14ac:dyDescent="0.25">
      <c r="B67" s="52"/>
      <c r="C67" s="52"/>
      <c r="D67" s="52"/>
      <c r="E67" s="52"/>
      <c r="F67" s="78"/>
      <c r="G67" s="78"/>
      <c r="H67" s="78"/>
      <c r="I67" s="78"/>
      <c r="J67" s="78"/>
      <c r="K67" s="78"/>
      <c r="M67" s="78"/>
      <c r="N67" s="78"/>
    </row>
    <row r="68" spans="2:14" s="92" customFormat="1" x14ac:dyDescent="0.25">
      <c r="B68" s="52"/>
      <c r="C68" s="52"/>
      <c r="D68" s="52"/>
      <c r="E68" s="52"/>
      <c r="F68" s="78"/>
      <c r="G68" s="78"/>
      <c r="H68" s="78"/>
      <c r="I68" s="78"/>
      <c r="J68" s="78"/>
      <c r="K68" s="78"/>
      <c r="M68" s="78"/>
      <c r="N68" s="78"/>
    </row>
    <row r="69" spans="2:14" s="52" customFormat="1" x14ac:dyDescent="0.25"/>
    <row r="70" spans="2:14" s="52" customFormat="1" x14ac:dyDescent="0.25"/>
    <row r="71" spans="2:14" s="52" customFormat="1" x14ac:dyDescent="0.25"/>
    <row r="72" spans="2:14" s="52" customFormat="1" x14ac:dyDescent="0.25"/>
    <row r="73" spans="2:14" s="52" customFormat="1" x14ac:dyDescent="0.25"/>
    <row r="74" spans="2:14" s="52" customFormat="1" x14ac:dyDescent="0.25"/>
    <row r="75" spans="2:14" s="52" customFormat="1" x14ac:dyDescent="0.25"/>
    <row r="76" spans="2:14" s="52" customFormat="1" x14ac:dyDescent="0.25"/>
    <row r="77" spans="2:14" s="52" customFormat="1" x14ac:dyDescent="0.25"/>
    <row r="78" spans="2:14" s="52" customFormat="1" x14ac:dyDescent="0.25"/>
    <row r="79" spans="2:14" s="52" customFormat="1" x14ac:dyDescent="0.25"/>
    <row r="80" spans="2:14" s="52" customFormat="1" x14ac:dyDescent="0.25"/>
    <row r="81" s="52" customFormat="1" x14ac:dyDescent="0.25"/>
    <row r="82" s="52" customFormat="1" x14ac:dyDescent="0.25"/>
    <row r="83" s="52" customFormat="1" x14ac:dyDescent="0.25"/>
    <row r="84" s="52" customFormat="1" x14ac:dyDescent="0.25"/>
    <row r="85" s="52" customFormat="1" x14ac:dyDescent="0.25"/>
    <row r="86" s="52" customFormat="1" x14ac:dyDescent="0.25"/>
    <row r="87" s="52" customFormat="1" x14ac:dyDescent="0.25"/>
    <row r="88" s="52" customFormat="1" x14ac:dyDescent="0.25"/>
    <row r="89" s="52" customFormat="1" x14ac:dyDescent="0.25"/>
    <row r="90" s="52" customFormat="1" x14ac:dyDescent="0.25"/>
    <row r="91" s="52" customFormat="1" x14ac:dyDescent="0.25"/>
    <row r="92" s="52" customFormat="1" x14ac:dyDescent="0.25"/>
    <row r="93" s="52" customFormat="1" x14ac:dyDescent="0.25"/>
    <row r="94" s="52" customFormat="1" x14ac:dyDescent="0.25"/>
    <row r="95" s="52" customFormat="1" x14ac:dyDescent="0.25"/>
    <row r="96" s="52" customFormat="1" x14ac:dyDescent="0.25"/>
    <row r="97" s="52" customFormat="1" x14ac:dyDescent="0.25"/>
    <row r="98" s="52" customFormat="1" x14ac:dyDescent="0.25"/>
    <row r="99" s="52" customFormat="1" x14ac:dyDescent="0.25"/>
    <row r="100" s="52" customFormat="1" x14ac:dyDescent="0.25"/>
    <row r="101" s="52" customFormat="1" x14ac:dyDescent="0.25"/>
    <row r="102" s="52" customFormat="1" x14ac:dyDescent="0.25"/>
    <row r="103" s="52" customFormat="1" x14ac:dyDescent="0.25"/>
    <row r="104" s="52" customFormat="1" x14ac:dyDescent="0.25"/>
    <row r="105" s="52" customFormat="1" x14ac:dyDescent="0.25"/>
    <row r="106" s="52" customFormat="1" x14ac:dyDescent="0.25"/>
    <row r="107" s="52" customFormat="1" x14ac:dyDescent="0.25"/>
    <row r="108" s="52" customFormat="1" x14ac:dyDescent="0.25"/>
    <row r="109" s="52" customFormat="1" x14ac:dyDescent="0.25"/>
    <row r="110" s="52" customFormat="1" x14ac:dyDescent="0.25"/>
    <row r="111" s="52" customFormat="1" x14ac:dyDescent="0.25"/>
    <row r="112" s="52" customFormat="1" x14ac:dyDescent="0.25"/>
    <row r="113" s="52" customFormat="1" x14ac:dyDescent="0.25"/>
    <row r="114" s="52" customFormat="1" x14ac:dyDescent="0.25"/>
    <row r="115" s="52" customFormat="1" x14ac:dyDescent="0.25"/>
    <row r="116" s="52" customFormat="1" x14ac:dyDescent="0.25"/>
    <row r="117" s="52" customFormat="1" x14ac:dyDescent="0.25"/>
    <row r="118" s="52" customFormat="1" x14ac:dyDescent="0.25"/>
    <row r="119" s="52" customFormat="1" x14ac:dyDescent="0.25"/>
    <row r="120" s="52" customFormat="1" x14ac:dyDescent="0.25"/>
    <row r="121" s="52" customFormat="1" x14ac:dyDescent="0.25"/>
    <row r="122" s="52" customFormat="1" x14ac:dyDescent="0.25"/>
    <row r="123" s="52" customFormat="1" x14ac:dyDescent="0.25"/>
    <row r="124" s="52" customFormat="1" x14ac:dyDescent="0.25"/>
    <row r="125" s="52" customFormat="1" x14ac:dyDescent="0.25"/>
    <row r="126" s="52" customFormat="1" x14ac:dyDescent="0.25"/>
    <row r="127" s="52" customFormat="1" x14ac:dyDescent="0.25"/>
    <row r="128" s="52" customFormat="1" x14ac:dyDescent="0.25"/>
    <row r="129" s="52" customFormat="1" x14ac:dyDescent="0.25"/>
    <row r="130" s="52" customFormat="1" x14ac:dyDescent="0.25"/>
    <row r="131" s="52" customFormat="1" x14ac:dyDescent="0.25"/>
    <row r="132" s="52" customFormat="1" x14ac:dyDescent="0.25"/>
    <row r="133" s="52" customFormat="1" x14ac:dyDescent="0.25"/>
    <row r="134" s="52" customFormat="1" x14ac:dyDescent="0.25"/>
    <row r="135" s="52" customFormat="1" x14ac:dyDescent="0.25"/>
    <row r="136" s="52" customFormat="1" x14ac:dyDescent="0.25"/>
    <row r="137" s="52" customFormat="1" x14ac:dyDescent="0.25"/>
    <row r="138" s="52" customFormat="1" x14ac:dyDescent="0.25"/>
    <row r="139" s="52" customFormat="1" x14ac:dyDescent="0.25"/>
    <row r="140" s="52" customFormat="1" x14ac:dyDescent="0.25"/>
    <row r="141" s="52" customFormat="1" x14ac:dyDescent="0.25"/>
    <row r="142" s="52" customFormat="1" x14ac:dyDescent="0.25"/>
    <row r="143" s="52" customFormat="1" x14ac:dyDescent="0.25"/>
    <row r="144" s="52" customFormat="1" x14ac:dyDescent="0.25"/>
    <row r="145" s="52" customFormat="1" x14ac:dyDescent="0.25"/>
    <row r="146" s="52" customFormat="1" x14ac:dyDescent="0.25"/>
    <row r="147" s="52" customFormat="1" x14ac:dyDescent="0.25"/>
    <row r="148" s="52" customFormat="1" x14ac:dyDescent="0.25"/>
    <row r="149" s="52" customFormat="1" x14ac:dyDescent="0.25"/>
    <row r="150" s="52" customFormat="1" x14ac:dyDescent="0.25"/>
    <row r="151" s="52" customFormat="1" x14ac:dyDescent="0.25"/>
    <row r="152" s="52" customFormat="1" x14ac:dyDescent="0.25"/>
    <row r="153" s="52" customFormat="1" x14ac:dyDescent="0.25"/>
    <row r="154" s="52" customFormat="1" x14ac:dyDescent="0.25"/>
    <row r="155" s="52" customFormat="1" x14ac:dyDescent="0.25"/>
    <row r="156" s="52" customFormat="1" x14ac:dyDescent="0.25"/>
    <row r="157" s="52" customFormat="1" x14ac:dyDescent="0.25"/>
    <row r="158" s="52" customFormat="1" x14ac:dyDescent="0.25"/>
    <row r="159" s="52" customFormat="1" x14ac:dyDescent="0.25"/>
    <row r="160" s="52" customFormat="1" x14ac:dyDescent="0.25"/>
    <row r="161" s="52" customFormat="1" x14ac:dyDescent="0.25"/>
    <row r="162" s="52" customFormat="1" x14ac:dyDescent="0.25"/>
    <row r="163" s="52" customFormat="1" x14ac:dyDescent="0.25"/>
    <row r="164" s="52" customFormat="1" x14ac:dyDescent="0.25"/>
    <row r="165" s="52" customFormat="1" x14ac:dyDescent="0.25"/>
    <row r="166" s="52" customFormat="1" x14ac:dyDescent="0.25"/>
    <row r="167" s="52" customFormat="1" x14ac:dyDescent="0.25"/>
    <row r="168" s="52" customFormat="1" x14ac:dyDescent="0.25"/>
    <row r="169" s="52" customFormat="1" x14ac:dyDescent="0.25"/>
    <row r="170" s="52" customFormat="1" x14ac:dyDescent="0.25"/>
    <row r="171" s="52" customFormat="1" x14ac:dyDescent="0.25"/>
    <row r="172" s="52" customFormat="1" x14ac:dyDescent="0.25"/>
    <row r="173" s="52" customFormat="1" x14ac:dyDescent="0.25"/>
    <row r="174" s="52" customFormat="1" x14ac:dyDescent="0.25"/>
    <row r="175" s="52" customFormat="1" x14ac:dyDescent="0.25"/>
    <row r="176" s="52" customFormat="1" x14ac:dyDescent="0.25"/>
    <row r="177" s="52" customFormat="1" x14ac:dyDescent="0.25"/>
    <row r="178" s="52" customFormat="1" x14ac:dyDescent="0.25"/>
    <row r="179" s="52" customFormat="1" x14ac:dyDescent="0.25"/>
    <row r="180" s="52" customFormat="1" x14ac:dyDescent="0.25"/>
    <row r="181" s="52" customFormat="1" x14ac:dyDescent="0.25"/>
    <row r="182" s="52" customFormat="1" x14ac:dyDescent="0.25"/>
    <row r="183" s="52" customFormat="1" x14ac:dyDescent="0.25"/>
    <row r="184" s="52" customFormat="1" x14ac:dyDescent="0.25"/>
    <row r="185" s="52" customFormat="1" x14ac:dyDescent="0.25"/>
    <row r="186" s="52" customFormat="1" x14ac:dyDescent="0.25"/>
    <row r="187" s="52" customFormat="1" x14ac:dyDescent="0.25"/>
    <row r="188" s="52" customFormat="1" x14ac:dyDescent="0.25"/>
    <row r="189" s="52" customFormat="1" x14ac:dyDescent="0.25"/>
    <row r="190" s="52" customFormat="1" x14ac:dyDescent="0.25"/>
    <row r="191" s="52" customFormat="1" x14ac:dyDescent="0.25"/>
    <row r="192" s="52" customFormat="1" x14ac:dyDescent="0.25"/>
    <row r="193" s="52" customFormat="1" x14ac:dyDescent="0.25"/>
    <row r="194" s="52" customFormat="1" x14ac:dyDescent="0.25"/>
    <row r="195" s="52" customFormat="1" x14ac:dyDescent="0.25"/>
    <row r="196" s="52" customFormat="1" x14ac:dyDescent="0.25"/>
    <row r="197" s="52" customFormat="1" x14ac:dyDescent="0.25"/>
    <row r="198" s="52" customFormat="1" x14ac:dyDescent="0.25"/>
    <row r="199" s="52" customFormat="1" x14ac:dyDescent="0.25"/>
    <row r="200" s="52" customFormat="1" x14ac:dyDescent="0.25"/>
    <row r="201" s="52" customFormat="1" x14ac:dyDescent="0.25"/>
    <row r="202" s="52" customFormat="1" x14ac:dyDescent="0.25"/>
    <row r="203" s="52" customFormat="1" x14ac:dyDescent="0.25"/>
    <row r="204" s="52" customFormat="1" x14ac:dyDescent="0.25"/>
    <row r="205" s="52" customFormat="1" x14ac:dyDescent="0.25"/>
    <row r="206" s="52" customFormat="1" x14ac:dyDescent="0.25"/>
    <row r="207" s="52" customFormat="1" x14ac:dyDescent="0.25"/>
    <row r="208" s="52" customFormat="1" x14ac:dyDescent="0.25"/>
    <row r="209" s="52" customFormat="1" x14ac:dyDescent="0.25"/>
    <row r="210" s="52" customFormat="1" x14ac:dyDescent="0.25"/>
    <row r="211" s="52" customFormat="1" x14ac:dyDescent="0.25"/>
    <row r="212" s="52" customFormat="1" x14ac:dyDescent="0.25"/>
    <row r="213" s="52" customFormat="1" x14ac:dyDescent="0.25"/>
    <row r="214" s="52" customFormat="1" x14ac:dyDescent="0.25"/>
    <row r="215" s="52" customFormat="1" x14ac:dyDescent="0.25"/>
    <row r="216" s="52" customFormat="1" x14ac:dyDescent="0.25"/>
    <row r="217" s="52" customFormat="1" x14ac:dyDescent="0.25"/>
    <row r="218" s="52" customFormat="1" x14ac:dyDescent="0.25"/>
    <row r="219" s="52" customFormat="1" x14ac:dyDescent="0.25"/>
    <row r="220" s="52" customFormat="1" x14ac:dyDescent="0.25"/>
    <row r="221" s="52" customFormat="1" x14ac:dyDescent="0.25"/>
    <row r="222" s="52" customFormat="1" x14ac:dyDescent="0.25"/>
    <row r="223" s="52" customFormat="1" x14ac:dyDescent="0.25"/>
    <row r="224" s="52" customFormat="1" x14ac:dyDescent="0.25"/>
    <row r="225" s="52" customFormat="1" x14ac:dyDescent="0.25"/>
    <row r="226" s="52" customFormat="1" x14ac:dyDescent="0.25"/>
    <row r="227" s="52" customFormat="1" x14ac:dyDescent="0.25"/>
    <row r="228" s="52" customFormat="1" x14ac:dyDescent="0.25"/>
    <row r="229" s="52" customFormat="1" x14ac:dyDescent="0.25"/>
    <row r="230" s="52" customFormat="1" x14ac:dyDescent="0.25"/>
    <row r="231" s="52" customFormat="1" x14ac:dyDescent="0.25"/>
    <row r="232" s="52" customFormat="1" x14ac:dyDescent="0.25"/>
    <row r="233" s="52" customFormat="1" x14ac:dyDescent="0.25"/>
    <row r="234" s="52" customFormat="1" x14ac:dyDescent="0.25"/>
    <row r="235" s="52" customFormat="1" x14ac:dyDescent="0.25"/>
    <row r="236" s="52" customFormat="1" x14ac:dyDescent="0.25"/>
    <row r="237" s="52" customFormat="1" x14ac:dyDescent="0.25"/>
    <row r="238" s="52" customFormat="1" x14ac:dyDescent="0.25"/>
    <row r="239" s="52" customFormat="1" x14ac:dyDescent="0.25"/>
    <row r="240" s="52" customFormat="1" x14ac:dyDescent="0.25"/>
    <row r="241" s="52" customFormat="1" x14ac:dyDescent="0.25"/>
    <row r="242" s="52" customFormat="1" x14ac:dyDescent="0.25"/>
    <row r="243" s="52" customFormat="1" x14ac:dyDescent="0.25"/>
    <row r="244" s="52" customFormat="1" x14ac:dyDescent="0.25"/>
    <row r="245" s="52" customFormat="1" x14ac:dyDescent="0.25"/>
    <row r="246" s="52" customFormat="1" x14ac:dyDescent="0.25"/>
    <row r="247" s="52" customFormat="1" x14ac:dyDescent="0.25"/>
    <row r="248" s="52" customFormat="1" x14ac:dyDescent="0.25"/>
    <row r="249" s="52" customFormat="1" x14ac:dyDescent="0.25"/>
    <row r="250" s="52" customFormat="1" x14ac:dyDescent="0.25"/>
    <row r="251" s="52" customFormat="1" x14ac:dyDescent="0.25"/>
    <row r="252" s="52" customFormat="1" x14ac:dyDescent="0.25"/>
    <row r="253" s="52" customFormat="1" x14ac:dyDescent="0.25"/>
    <row r="254" s="52" customFormat="1" x14ac:dyDescent="0.25"/>
    <row r="255" s="52" customFormat="1" x14ac:dyDescent="0.25"/>
    <row r="256" s="52" customFormat="1" x14ac:dyDescent="0.25"/>
    <row r="257" s="52" customFormat="1" x14ac:dyDescent="0.25"/>
    <row r="258" s="52" customFormat="1" x14ac:dyDescent="0.25"/>
    <row r="259" s="52" customFormat="1" x14ac:dyDescent="0.25"/>
    <row r="260" s="52" customFormat="1" x14ac:dyDescent="0.25"/>
    <row r="261" s="52" customFormat="1" x14ac:dyDescent="0.25"/>
    <row r="262" s="52" customFormat="1" x14ac:dyDescent="0.25"/>
    <row r="263" s="52" customFormat="1" x14ac:dyDescent="0.25"/>
    <row r="264" s="52" customFormat="1" x14ac:dyDescent="0.25"/>
    <row r="265" s="52" customFormat="1" x14ac:dyDescent="0.25"/>
    <row r="266" s="52" customFormat="1" x14ac:dyDescent="0.25"/>
    <row r="267" s="52" customFormat="1" x14ac:dyDescent="0.25"/>
    <row r="268" s="52" customFormat="1" x14ac:dyDescent="0.25"/>
    <row r="269" s="52" customFormat="1" x14ac:dyDescent="0.25"/>
    <row r="270" s="52" customFormat="1" x14ac:dyDescent="0.25"/>
    <row r="271" s="52" customFormat="1" x14ac:dyDescent="0.25"/>
    <row r="272" s="52" customFormat="1" x14ac:dyDescent="0.25"/>
    <row r="273" s="52" customFormat="1" x14ac:dyDescent="0.25"/>
    <row r="274" s="52" customFormat="1" x14ac:dyDescent="0.25"/>
    <row r="275" s="52" customFormat="1" x14ac:dyDescent="0.25"/>
    <row r="276" s="52" customFormat="1" x14ac:dyDescent="0.25"/>
    <row r="277" s="52" customFormat="1" x14ac:dyDescent="0.25"/>
    <row r="278" s="52" customFormat="1" x14ac:dyDescent="0.25"/>
    <row r="279" s="52" customFormat="1" x14ac:dyDescent="0.25"/>
    <row r="280" s="52" customFormat="1" x14ac:dyDescent="0.25"/>
    <row r="281" s="52" customFormat="1" x14ac:dyDescent="0.25"/>
    <row r="282" s="52" customFormat="1" x14ac:dyDescent="0.25"/>
    <row r="283" s="52" customFormat="1" x14ac:dyDescent="0.25"/>
    <row r="284" s="52" customFormat="1" x14ac:dyDescent="0.25"/>
    <row r="285" s="52" customFormat="1" x14ac:dyDescent="0.25"/>
    <row r="286" s="52" customFormat="1" x14ac:dyDescent="0.25"/>
    <row r="287" s="52" customFormat="1" x14ac:dyDescent="0.25"/>
    <row r="288" s="52" customFormat="1" x14ac:dyDescent="0.25"/>
    <row r="289" s="52" customFormat="1" x14ac:dyDescent="0.25"/>
    <row r="290" s="52" customFormat="1" x14ac:dyDescent="0.25"/>
    <row r="291" s="52" customFormat="1" x14ac:dyDescent="0.25"/>
    <row r="292" s="52" customFormat="1" x14ac:dyDescent="0.25"/>
    <row r="293" s="52" customFormat="1" x14ac:dyDescent="0.25"/>
    <row r="294" s="52" customFormat="1" x14ac:dyDescent="0.25"/>
    <row r="295" s="52" customFormat="1" x14ac:dyDescent="0.25"/>
    <row r="296" s="52" customFormat="1" x14ac:dyDescent="0.25"/>
    <row r="297" s="52" customFormat="1" x14ac:dyDescent="0.25"/>
    <row r="298" s="52" customFormat="1" x14ac:dyDescent="0.25"/>
    <row r="299" s="52" customFormat="1" x14ac:dyDescent="0.25"/>
    <row r="300" s="52" customFormat="1" x14ac:dyDescent="0.25"/>
    <row r="301" s="52" customFormat="1" x14ac:dyDescent="0.25"/>
    <row r="302" s="52" customFormat="1" x14ac:dyDescent="0.25"/>
    <row r="303" s="52" customFormat="1" x14ac:dyDescent="0.25"/>
    <row r="304" s="52" customFormat="1" x14ac:dyDescent="0.25"/>
    <row r="305" s="52" customFormat="1" x14ac:dyDescent="0.25"/>
    <row r="306" s="52" customFormat="1" x14ac:dyDescent="0.25"/>
    <row r="307" s="52" customFormat="1" x14ac:dyDescent="0.25"/>
    <row r="308" s="52" customFormat="1" x14ac:dyDescent="0.25"/>
    <row r="309" s="52" customFormat="1" x14ac:dyDescent="0.25"/>
    <row r="310" s="52" customFormat="1" x14ac:dyDescent="0.25"/>
    <row r="311" s="52" customFormat="1" x14ac:dyDescent="0.25"/>
    <row r="312" s="52" customFormat="1" x14ac:dyDescent="0.25"/>
    <row r="313" s="52" customFormat="1" x14ac:dyDescent="0.25"/>
    <row r="314" s="52" customFormat="1" x14ac:dyDescent="0.25"/>
    <row r="315" s="52" customFormat="1" x14ac:dyDescent="0.25"/>
    <row r="316" s="52" customFormat="1" x14ac:dyDescent="0.25"/>
    <row r="317" s="52" customFormat="1" x14ac:dyDescent="0.25"/>
    <row r="318" s="52" customFormat="1" x14ac:dyDescent="0.25"/>
    <row r="319" s="52" customFormat="1" x14ac:dyDescent="0.25"/>
    <row r="320" s="52" customFormat="1" x14ac:dyDescent="0.25"/>
    <row r="321" s="52" customFormat="1" x14ac:dyDescent="0.25"/>
    <row r="322" s="52" customFormat="1" x14ac:dyDescent="0.25"/>
    <row r="323" s="52" customFormat="1" x14ac:dyDescent="0.25"/>
    <row r="324" s="52" customFormat="1" x14ac:dyDescent="0.25"/>
    <row r="325" s="52" customFormat="1" x14ac:dyDescent="0.25"/>
    <row r="326" s="52" customFormat="1" x14ac:dyDescent="0.25"/>
    <row r="327" s="52" customFormat="1" x14ac:dyDescent="0.25"/>
    <row r="328" s="52" customFormat="1" x14ac:dyDescent="0.25"/>
    <row r="329" s="52" customFormat="1" x14ac:dyDescent="0.25"/>
    <row r="330" s="52" customFormat="1" x14ac:dyDescent="0.25"/>
    <row r="331" s="52" customFormat="1" x14ac:dyDescent="0.25"/>
    <row r="332" s="52" customFormat="1" x14ac:dyDescent="0.25"/>
    <row r="333" s="52" customFormat="1" x14ac:dyDescent="0.25"/>
    <row r="334" s="52" customFormat="1" x14ac:dyDescent="0.25"/>
    <row r="335" s="52" customFormat="1" x14ac:dyDescent="0.25"/>
    <row r="336" s="52" customFormat="1" x14ac:dyDescent="0.25"/>
    <row r="337" s="52" customFormat="1" x14ac:dyDescent="0.25"/>
    <row r="338" s="52" customFormat="1" x14ac:dyDescent="0.25"/>
    <row r="339" s="52" customFormat="1" x14ac:dyDescent="0.25"/>
    <row r="340" s="52" customFormat="1" x14ac:dyDescent="0.25"/>
    <row r="341" s="52" customFormat="1" x14ac:dyDescent="0.25"/>
    <row r="342" s="52" customFormat="1" x14ac:dyDescent="0.25"/>
    <row r="343" s="52" customFormat="1" x14ac:dyDescent="0.25"/>
    <row r="344" s="52" customFormat="1" x14ac:dyDescent="0.25"/>
    <row r="345" s="52" customFormat="1" x14ac:dyDescent="0.25"/>
    <row r="346" s="52" customFormat="1" x14ac:dyDescent="0.25"/>
    <row r="347" s="52" customFormat="1" x14ac:dyDescent="0.25"/>
    <row r="348" s="52" customFormat="1" x14ac:dyDescent="0.25"/>
    <row r="349" s="52" customFormat="1" x14ac:dyDescent="0.25"/>
    <row r="350" s="52" customFormat="1" x14ac:dyDescent="0.25"/>
    <row r="351" s="52" customFormat="1" x14ac:dyDescent="0.25"/>
    <row r="352" s="52" customFormat="1" x14ac:dyDescent="0.25"/>
    <row r="353" s="52" customFormat="1" x14ac:dyDescent="0.25"/>
    <row r="354" s="52" customFormat="1" x14ac:dyDescent="0.25"/>
    <row r="355" s="52" customFormat="1" x14ac:dyDescent="0.25"/>
    <row r="356" s="52" customFormat="1" x14ac:dyDescent="0.25"/>
    <row r="357" s="52" customFormat="1" x14ac:dyDescent="0.25"/>
    <row r="358" s="52" customFormat="1" x14ac:dyDescent="0.25"/>
    <row r="359" s="52" customFormat="1" x14ac:dyDescent="0.25"/>
    <row r="360" s="52" customFormat="1" x14ac:dyDescent="0.25"/>
    <row r="361" s="52" customFormat="1" x14ac:dyDescent="0.25"/>
    <row r="362" s="52" customFormat="1" x14ac:dyDescent="0.25"/>
    <row r="363" s="52" customFormat="1" x14ac:dyDescent="0.25"/>
    <row r="364" s="52" customFormat="1" x14ac:dyDescent="0.25"/>
    <row r="365" s="52" customFormat="1" x14ac:dyDescent="0.25"/>
    <row r="366" s="52" customFormat="1" x14ac:dyDescent="0.25"/>
    <row r="367" s="52" customFormat="1" x14ac:dyDescent="0.25"/>
    <row r="368" s="52" customFormat="1" x14ac:dyDescent="0.25"/>
    <row r="369" s="52" customFormat="1" x14ac:dyDescent="0.25"/>
    <row r="370" s="52" customFormat="1" x14ac:dyDescent="0.25"/>
    <row r="371" s="52" customFormat="1" x14ac:dyDescent="0.25"/>
    <row r="372" s="52" customFormat="1" x14ac:dyDescent="0.25"/>
    <row r="373" s="52" customFormat="1" x14ac:dyDescent="0.25"/>
    <row r="374" s="52" customFormat="1" x14ac:dyDescent="0.25"/>
    <row r="375" s="52" customFormat="1" x14ac:dyDescent="0.25"/>
    <row r="376" s="52" customFormat="1" x14ac:dyDescent="0.25"/>
    <row r="377" s="52" customFormat="1" x14ac:dyDescent="0.25"/>
    <row r="378" s="52" customFormat="1" x14ac:dyDescent="0.25"/>
    <row r="379" s="52" customFormat="1" x14ac:dyDescent="0.25"/>
    <row r="380" s="52" customFormat="1" x14ac:dyDescent="0.25"/>
    <row r="381" s="52" customFormat="1" x14ac:dyDescent="0.25"/>
    <row r="382" s="52" customFormat="1" x14ac:dyDescent="0.25"/>
    <row r="383" s="52" customFormat="1" x14ac:dyDescent="0.25"/>
    <row r="384" s="52" customFormat="1" x14ac:dyDescent="0.25"/>
    <row r="385" s="52" customFormat="1" x14ac:dyDescent="0.25"/>
    <row r="386" s="52" customFormat="1" x14ac:dyDescent="0.25"/>
    <row r="387" s="52" customFormat="1" x14ac:dyDescent="0.25"/>
    <row r="388" s="52" customFormat="1" x14ac:dyDescent="0.25"/>
    <row r="389" s="52" customFormat="1" x14ac:dyDescent="0.25"/>
    <row r="390" s="52" customFormat="1" x14ac:dyDescent="0.25"/>
    <row r="391" s="52" customFormat="1" x14ac:dyDescent="0.25"/>
    <row r="392" s="52" customFormat="1" x14ac:dyDescent="0.25"/>
    <row r="393" s="52" customFormat="1" x14ac:dyDescent="0.25"/>
    <row r="394" s="52" customFormat="1" x14ac:dyDescent="0.25"/>
    <row r="395" s="52" customFormat="1" x14ac:dyDescent="0.25"/>
    <row r="396" s="52" customFormat="1" x14ac:dyDescent="0.25"/>
    <row r="397" s="52" customFormat="1" x14ac:dyDescent="0.25"/>
    <row r="398" s="52" customFormat="1" x14ac:dyDescent="0.25"/>
    <row r="399" s="52" customFormat="1" x14ac:dyDescent="0.25"/>
    <row r="400" s="52" customFormat="1" x14ac:dyDescent="0.25"/>
    <row r="401" s="52" customFormat="1" x14ac:dyDescent="0.25"/>
    <row r="402" s="52" customFormat="1" x14ac:dyDescent="0.25"/>
    <row r="403" s="52" customFormat="1" x14ac:dyDescent="0.25"/>
    <row r="404" s="52" customFormat="1" x14ac:dyDescent="0.25"/>
    <row r="405" s="52" customFormat="1" x14ac:dyDescent="0.25"/>
    <row r="406" s="52" customFormat="1" x14ac:dyDescent="0.25"/>
    <row r="407" s="52" customFormat="1" x14ac:dyDescent="0.25"/>
    <row r="408" s="52" customFormat="1" x14ac:dyDescent="0.25"/>
    <row r="409" s="52" customFormat="1" x14ac:dyDescent="0.25"/>
    <row r="410" s="52" customFormat="1" x14ac:dyDescent="0.25"/>
    <row r="411" s="52" customFormat="1" x14ac:dyDescent="0.25"/>
    <row r="412" s="52" customFormat="1" x14ac:dyDescent="0.25"/>
    <row r="413" s="52" customFormat="1" x14ac:dyDescent="0.25"/>
    <row r="414" s="52" customFormat="1" x14ac:dyDescent="0.25"/>
    <row r="415" s="52" customFormat="1" x14ac:dyDescent="0.25"/>
    <row r="416" s="52" customFormat="1" x14ac:dyDescent="0.25"/>
    <row r="417" s="52" customFormat="1" x14ac:dyDescent="0.25"/>
    <row r="418" s="52" customFormat="1" x14ac:dyDescent="0.25"/>
    <row r="419" s="52" customFormat="1" x14ac:dyDescent="0.25"/>
    <row r="420" s="52" customFormat="1" x14ac:dyDescent="0.25"/>
    <row r="421" s="52" customFormat="1" x14ac:dyDescent="0.25"/>
    <row r="422" s="52" customFormat="1" x14ac:dyDescent="0.25"/>
    <row r="423" s="52" customFormat="1" x14ac:dyDescent="0.25"/>
    <row r="424" s="52" customFormat="1" x14ac:dyDescent="0.25"/>
    <row r="425" s="52" customFormat="1" x14ac:dyDescent="0.25"/>
    <row r="426" s="52" customFormat="1" x14ac:dyDescent="0.25"/>
    <row r="427" s="52" customFormat="1" x14ac:dyDescent="0.25"/>
    <row r="428" s="52" customFormat="1" x14ac:dyDescent="0.25"/>
    <row r="429" s="52" customFormat="1" x14ac:dyDescent="0.25"/>
    <row r="430" s="52" customFormat="1" x14ac:dyDescent="0.25"/>
    <row r="431" s="52" customFormat="1" x14ac:dyDescent="0.25"/>
    <row r="432" s="52" customFormat="1" x14ac:dyDescent="0.25"/>
    <row r="433" s="52" customFormat="1" x14ac:dyDescent="0.25"/>
    <row r="434" s="52" customFormat="1" x14ac:dyDescent="0.25"/>
    <row r="435" s="52" customFormat="1" x14ac:dyDescent="0.25"/>
    <row r="436" s="52" customFormat="1" x14ac:dyDescent="0.25"/>
    <row r="437" s="52" customFormat="1" x14ac:dyDescent="0.25"/>
    <row r="438" s="52" customFormat="1" x14ac:dyDescent="0.25"/>
    <row r="439" s="52" customFormat="1" x14ac:dyDescent="0.25"/>
    <row r="440" s="52" customFormat="1" x14ac:dyDescent="0.25"/>
    <row r="441" s="52" customFormat="1" x14ac:dyDescent="0.25"/>
    <row r="442" s="52" customFormat="1" x14ac:dyDescent="0.25"/>
    <row r="443" s="52" customFormat="1" x14ac:dyDescent="0.25"/>
    <row r="444" s="52" customFormat="1" x14ac:dyDescent="0.25"/>
    <row r="445" s="52" customFormat="1" x14ac:dyDescent="0.25"/>
    <row r="446" s="52" customFormat="1" x14ac:dyDescent="0.25"/>
    <row r="447" s="52" customFormat="1" x14ac:dyDescent="0.25"/>
    <row r="448" s="52" customFormat="1" x14ac:dyDescent="0.25"/>
    <row r="449" s="52" customFormat="1" x14ac:dyDescent="0.25"/>
    <row r="450" s="52" customFormat="1" x14ac:dyDescent="0.25"/>
    <row r="451" s="52" customFormat="1" x14ac:dyDescent="0.25"/>
    <row r="452" s="52" customFormat="1" x14ac:dyDescent="0.25"/>
    <row r="453" s="52" customFormat="1" x14ac:dyDescent="0.25"/>
    <row r="454" s="52" customFormat="1" x14ac:dyDescent="0.25"/>
    <row r="455" s="52" customFormat="1" x14ac:dyDescent="0.25"/>
    <row r="456" s="52" customFormat="1" x14ac:dyDescent="0.25"/>
    <row r="457" s="52" customFormat="1" x14ac:dyDescent="0.25"/>
    <row r="458" s="52" customFormat="1" x14ac:dyDescent="0.25"/>
    <row r="459" s="52" customFormat="1" x14ac:dyDescent="0.25"/>
    <row r="460" s="52" customFormat="1" x14ac:dyDescent="0.25"/>
    <row r="461" s="52" customFormat="1" x14ac:dyDescent="0.25"/>
    <row r="462" s="52" customFormat="1" x14ac:dyDescent="0.25"/>
    <row r="463" s="52" customFormat="1" x14ac:dyDescent="0.25"/>
    <row r="464" s="52" customFormat="1" x14ac:dyDescent="0.25"/>
    <row r="465" s="52" customFormat="1" x14ac:dyDescent="0.25"/>
    <row r="466" s="52" customFormat="1" x14ac:dyDescent="0.25"/>
    <row r="467" s="52" customFormat="1" x14ac:dyDescent="0.25"/>
    <row r="468" s="52" customFormat="1" x14ac:dyDescent="0.25"/>
    <row r="469" s="52" customFormat="1" x14ac:dyDescent="0.25"/>
    <row r="470" s="52" customFormat="1" x14ac:dyDescent="0.25"/>
    <row r="471" s="52" customFormat="1" x14ac:dyDescent="0.25"/>
    <row r="472" s="52" customFormat="1" x14ac:dyDescent="0.25"/>
    <row r="473" s="52" customFormat="1" x14ac:dyDescent="0.25"/>
    <row r="474" s="52" customFormat="1" x14ac:dyDescent="0.25"/>
    <row r="475" s="52" customFormat="1" x14ac:dyDescent="0.25"/>
    <row r="476" s="52" customFormat="1" x14ac:dyDescent="0.25"/>
    <row r="477" s="52" customFormat="1" x14ac:dyDescent="0.25"/>
    <row r="478" s="52" customFormat="1" x14ac:dyDescent="0.25"/>
    <row r="479" s="52" customFormat="1" x14ac:dyDescent="0.25"/>
    <row r="480" s="52" customFormat="1" x14ac:dyDescent="0.25"/>
    <row r="481" s="52" customFormat="1" x14ac:dyDescent="0.25"/>
    <row r="482" s="52" customFormat="1" x14ac:dyDescent="0.25"/>
    <row r="483" s="52" customFormat="1" x14ac:dyDescent="0.25"/>
    <row r="484" s="52" customFormat="1" x14ac:dyDescent="0.25"/>
    <row r="485" s="52" customFormat="1" x14ac:dyDescent="0.25"/>
    <row r="486" s="52" customFormat="1" x14ac:dyDescent="0.25"/>
    <row r="487" s="52" customFormat="1" x14ac:dyDescent="0.25"/>
    <row r="488" s="52" customFormat="1" x14ac:dyDescent="0.25"/>
    <row r="489" s="52" customFormat="1" x14ac:dyDescent="0.25"/>
    <row r="490" s="52" customFormat="1" x14ac:dyDescent="0.25"/>
    <row r="491" s="52" customFormat="1" x14ac:dyDescent="0.25"/>
    <row r="492" s="52" customFormat="1" x14ac:dyDescent="0.25"/>
    <row r="493" s="52" customFormat="1" x14ac:dyDescent="0.25"/>
    <row r="494" s="52" customFormat="1" x14ac:dyDescent="0.25"/>
    <row r="495" s="52" customFormat="1" x14ac:dyDescent="0.25"/>
    <row r="496" s="52" customFormat="1" x14ac:dyDescent="0.25"/>
    <row r="497" s="52" customFormat="1" x14ac:dyDescent="0.25"/>
    <row r="498" s="52" customFormat="1" x14ac:dyDescent="0.25"/>
    <row r="499" s="52" customFormat="1" x14ac:dyDescent="0.25"/>
    <row r="500" s="52" customFormat="1" x14ac:dyDescent="0.25"/>
    <row r="501" s="52" customFormat="1" x14ac:dyDescent="0.25"/>
    <row r="502" s="52" customFormat="1" x14ac:dyDescent="0.25"/>
    <row r="503" s="52" customFormat="1" x14ac:dyDescent="0.25"/>
    <row r="504" s="52" customFormat="1" x14ac:dyDescent="0.25"/>
    <row r="505" s="52" customFormat="1" x14ac:dyDescent="0.25"/>
    <row r="506" s="52" customFormat="1" x14ac:dyDescent="0.25"/>
    <row r="507" s="52" customFormat="1" x14ac:dyDescent="0.25"/>
    <row r="508" s="52" customFormat="1" x14ac:dyDescent="0.25"/>
    <row r="509" s="52" customFormat="1" x14ac:dyDescent="0.25"/>
    <row r="510" s="52" customFormat="1" x14ac:dyDescent="0.25"/>
    <row r="511" s="52" customFormat="1" x14ac:dyDescent="0.25"/>
    <row r="512" s="52" customFormat="1" x14ac:dyDescent="0.25"/>
    <row r="513" s="52" customFormat="1" x14ac:dyDescent="0.25"/>
    <row r="514" s="52" customFormat="1" x14ac:dyDescent="0.25"/>
    <row r="515" s="52" customFormat="1" x14ac:dyDescent="0.25"/>
    <row r="516" s="52" customFormat="1" x14ac:dyDescent="0.25"/>
    <row r="517" s="52" customFormat="1" x14ac:dyDescent="0.25"/>
    <row r="518" s="52" customFormat="1" x14ac:dyDescent="0.25"/>
    <row r="519" s="52" customFormat="1" x14ac:dyDescent="0.25"/>
    <row r="520" s="52" customFormat="1" x14ac:dyDescent="0.25"/>
    <row r="521" s="52" customFormat="1" x14ac:dyDescent="0.25"/>
    <row r="522" s="52" customFormat="1" x14ac:dyDescent="0.25"/>
    <row r="523" s="52" customFormat="1" x14ac:dyDescent="0.25"/>
    <row r="524" s="52" customFormat="1" x14ac:dyDescent="0.25"/>
    <row r="525" s="52" customFormat="1" x14ac:dyDescent="0.25"/>
    <row r="526" s="52" customFormat="1" x14ac:dyDescent="0.25"/>
    <row r="527" s="52" customFormat="1" x14ac:dyDescent="0.25"/>
    <row r="528" s="52" customFormat="1" x14ac:dyDescent="0.25"/>
    <row r="529" s="52" customFormat="1" x14ac:dyDescent="0.25"/>
    <row r="530" s="52" customFormat="1" x14ac:dyDescent="0.25"/>
    <row r="531" s="52" customFormat="1" x14ac:dyDescent="0.25"/>
    <row r="532" s="52" customFormat="1" x14ac:dyDescent="0.25"/>
    <row r="533" s="52" customFormat="1" x14ac:dyDescent="0.25"/>
    <row r="534" s="52" customFormat="1" x14ac:dyDescent="0.25"/>
    <row r="535" s="52" customFormat="1" x14ac:dyDescent="0.25"/>
    <row r="536" s="52" customFormat="1" x14ac:dyDescent="0.25"/>
    <row r="537" s="52" customFormat="1" x14ac:dyDescent="0.25"/>
    <row r="538" s="52" customFormat="1" x14ac:dyDescent="0.25"/>
    <row r="539" s="52" customFormat="1" x14ac:dyDescent="0.25"/>
    <row r="540" s="52" customFormat="1" x14ac:dyDescent="0.25"/>
  </sheetData>
  <pageMargins left="0.7" right="0.7" top="0.75" bottom="0.75" header="0.3" footer="0.3"/>
  <headerFooter>
    <oddFooter>&amp;C_x000D_&amp;1#&amp;"Aptos"&amp;6&amp;K000000 ECP-INFORMACION PUBLICA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138BF-F5DD-444D-A6A9-8270DE445377}">
  <dimension ref="A2:AO536"/>
  <sheetViews>
    <sheetView zoomScaleNormal="100" workbookViewId="0">
      <pane xSplit="11" ySplit="2" topLeftCell="L4" activePane="bottomRight" state="frozen"/>
      <selection pane="topRight" activeCell="L1" sqref="L1"/>
      <selection pane="bottomLeft" activeCell="A3" sqref="A3"/>
      <selection pane="bottomRight" activeCell="H1" sqref="H1"/>
    </sheetView>
  </sheetViews>
  <sheetFormatPr baseColWidth="10" defaultColWidth="11.42578125" defaultRowHeight="15" outlineLevelRow="1" outlineLevelCol="1" x14ac:dyDescent="0.25"/>
  <cols>
    <col min="1" max="1" width="3.42578125" style="52" customWidth="1"/>
    <col min="2" max="2" width="41.28515625" customWidth="1"/>
    <col min="3" max="7" width="13.85546875" hidden="1" customWidth="1"/>
    <col min="8" max="9" width="13.85546875" customWidth="1" outlineLevel="1"/>
    <col min="10" max="11" width="13.85546875" hidden="1" customWidth="1" outlineLevel="1"/>
    <col min="12" max="15" width="13.85546875" hidden="1" customWidth="1"/>
    <col min="16" max="16" width="18.5703125" style="52" hidden="1" customWidth="1"/>
    <col min="17" max="17" width="13.85546875" hidden="1" customWidth="1"/>
    <col min="18" max="18" width="70.42578125" customWidth="1"/>
    <col min="19" max="19" width="17.85546875" style="52" bestFit="1" customWidth="1"/>
    <col min="20" max="20" width="15.5703125" style="52" bestFit="1" customWidth="1"/>
    <col min="21" max="41" width="11.42578125" style="52"/>
  </cols>
  <sheetData>
    <row r="2" spans="1:41" s="51" customFormat="1" x14ac:dyDescent="0.25">
      <c r="A2" s="31"/>
      <c r="B2" s="46" t="s">
        <v>0</v>
      </c>
      <c r="C2" s="47" t="s">
        <v>1</v>
      </c>
      <c r="D2" s="47" t="s">
        <v>2</v>
      </c>
      <c r="E2" s="47" t="s">
        <v>3</v>
      </c>
      <c r="F2" s="47" t="s">
        <v>80</v>
      </c>
      <c r="G2" s="47" t="s">
        <v>5</v>
      </c>
      <c r="H2" s="47" t="s">
        <v>81</v>
      </c>
      <c r="I2" s="47" t="s">
        <v>5</v>
      </c>
      <c r="J2" s="47" t="s">
        <v>82</v>
      </c>
      <c r="K2" s="47" t="s">
        <v>5</v>
      </c>
      <c r="L2" s="48" t="s">
        <v>6</v>
      </c>
      <c r="M2" s="48" t="s">
        <v>5</v>
      </c>
      <c r="N2" s="49" t="s">
        <v>7</v>
      </c>
      <c r="O2" s="49" t="s">
        <v>5</v>
      </c>
      <c r="P2" s="50" t="s">
        <v>8</v>
      </c>
      <c r="Q2" s="50" t="s">
        <v>5</v>
      </c>
      <c r="R2" s="47" t="s">
        <v>9</v>
      </c>
      <c r="S2" s="31"/>
      <c r="T2" s="31"/>
      <c r="U2" s="31"/>
      <c r="V2" s="31"/>
      <c r="W2" s="31"/>
      <c r="X2" s="31"/>
      <c r="Y2" s="31"/>
      <c r="Z2" s="31"/>
      <c r="AA2" s="31"/>
      <c r="AB2" s="31"/>
      <c r="AC2" s="31"/>
      <c r="AD2" s="31"/>
      <c r="AE2" s="31"/>
      <c r="AF2" s="31"/>
      <c r="AG2" s="31"/>
      <c r="AH2" s="31"/>
      <c r="AI2" s="31"/>
      <c r="AJ2" s="31"/>
      <c r="AK2" s="31"/>
      <c r="AL2" s="31"/>
      <c r="AM2" s="31"/>
      <c r="AN2" s="31"/>
      <c r="AO2" s="31"/>
    </row>
    <row r="3" spans="1:41" x14ac:dyDescent="0.25">
      <c r="B3" s="53" t="s">
        <v>10</v>
      </c>
      <c r="C3" s="54">
        <f>SUM(C4:C7)</f>
        <v>0</v>
      </c>
      <c r="D3" s="54">
        <f t="shared" ref="D3:F3" si="0">SUM(D4:D7)</f>
        <v>1063135</v>
      </c>
      <c r="E3" s="54">
        <f t="shared" si="0"/>
        <v>18586079</v>
      </c>
      <c r="F3" s="54">
        <f t="shared" si="0"/>
        <v>19649214</v>
      </c>
      <c r="G3" s="55">
        <f>+F3/$F$25</f>
        <v>0.88905275603426892</v>
      </c>
      <c r="H3" s="54">
        <f>SUM(H4:H7)</f>
        <v>19649214</v>
      </c>
      <c r="I3" s="55">
        <f>+H3/$H$25</f>
        <v>0.91967582079871235</v>
      </c>
      <c r="J3" s="54">
        <f>SUM(J4:J7)</f>
        <v>19649214</v>
      </c>
      <c r="K3" s="55">
        <f>+J3/$J$25</f>
        <v>0.92949235156746324</v>
      </c>
      <c r="L3" s="54">
        <f>SUM(L4:L7)</f>
        <v>21268425</v>
      </c>
      <c r="M3" s="55">
        <f>+L3/$L$25</f>
        <v>0.89144352033517738</v>
      </c>
      <c r="N3" s="54">
        <f>SUM(N4:N7)</f>
        <v>8232672.7699349588</v>
      </c>
      <c r="O3" s="55">
        <f t="shared" ref="O3:O25" si="1">+N3/$N$25</f>
        <v>0.85974571788076959</v>
      </c>
      <c r="P3" s="54">
        <f>SUM(P4:P7)</f>
        <v>22059967</v>
      </c>
      <c r="Q3" s="55">
        <f t="shared" ref="Q3:Q25" si="2">+P3/$P$25</f>
        <v>0.92372669256315576</v>
      </c>
      <c r="R3" s="56"/>
    </row>
    <row r="4" spans="1:41" outlineLevel="1" x14ac:dyDescent="0.25">
      <c r="B4" s="57" t="s">
        <v>11</v>
      </c>
      <c r="C4" s="58" t="s">
        <v>12</v>
      </c>
      <c r="D4" s="58">
        <v>901557</v>
      </c>
      <c r="E4" s="58">
        <v>17682881</v>
      </c>
      <c r="F4" s="58">
        <v>18584438</v>
      </c>
      <c r="G4" s="59">
        <f t="shared" ref="G4:G27" si="3">+F4/$F$25</f>
        <v>0.84087566165486305</v>
      </c>
      <c r="H4" s="58">
        <v>18584438</v>
      </c>
      <c r="I4" s="59">
        <f t="shared" ref="I4:I27" si="4">+H4/$H$25</f>
        <v>0.86983928577157232</v>
      </c>
      <c r="J4" s="58">
        <v>18584438</v>
      </c>
      <c r="K4" s="59">
        <f t="shared" ref="K4:K27" si="5">+J4/$J$25</f>
        <v>0.87912386618516769</v>
      </c>
      <c r="L4" s="58">
        <v>20282545</v>
      </c>
      <c r="M4" s="59">
        <f t="shared" ref="M4:M25" si="6">+L4/$L$25</f>
        <v>0.85012140373143052</v>
      </c>
      <c r="N4" s="58">
        <v>7869677.3506395658</v>
      </c>
      <c r="O4" s="59">
        <f t="shared" si="1"/>
        <v>0.82183776671219488</v>
      </c>
      <c r="P4" s="58">
        <v>21250042</v>
      </c>
      <c r="Q4" s="59">
        <f t="shared" si="2"/>
        <v>0.88981234711222124</v>
      </c>
      <c r="R4" s="157"/>
    </row>
    <row r="5" spans="1:41" outlineLevel="1" x14ac:dyDescent="0.25">
      <c r="B5" s="57" t="s">
        <v>13</v>
      </c>
      <c r="C5" s="58" t="s">
        <v>12</v>
      </c>
      <c r="D5" s="58">
        <v>38162</v>
      </c>
      <c r="E5" s="58">
        <v>172598</v>
      </c>
      <c r="F5" s="58">
        <v>210760</v>
      </c>
      <c r="G5" s="59">
        <f t="shared" si="3"/>
        <v>9.5360943629492021E-3</v>
      </c>
      <c r="H5" s="58">
        <v>210760</v>
      </c>
      <c r="I5" s="59">
        <f t="shared" si="4"/>
        <v>9.8645612995785278E-3</v>
      </c>
      <c r="J5" s="58">
        <v>210760</v>
      </c>
      <c r="K5" s="59">
        <f t="shared" si="5"/>
        <v>9.9698546728820073E-3</v>
      </c>
      <c r="L5" s="58">
        <v>50489</v>
      </c>
      <c r="M5" s="59">
        <f t="shared" si="6"/>
        <v>2.1161929902286029E-3</v>
      </c>
      <c r="N5" s="58">
        <v>43742.724444444444</v>
      </c>
      <c r="O5" s="59">
        <f t="shared" si="1"/>
        <v>4.5680936289475152E-3</v>
      </c>
      <c r="P5" s="58">
        <v>209140</v>
      </c>
      <c r="Q5" s="59">
        <f t="shared" si="2"/>
        <v>8.7574111277074155E-3</v>
      </c>
      <c r="R5" s="157" t="s">
        <v>83</v>
      </c>
    </row>
    <row r="6" spans="1:41" outlineLevel="1" x14ac:dyDescent="0.25">
      <c r="B6" s="57" t="s">
        <v>15</v>
      </c>
      <c r="C6" s="58" t="s">
        <v>12</v>
      </c>
      <c r="D6" s="58">
        <v>123416</v>
      </c>
      <c r="E6" s="58">
        <v>301481</v>
      </c>
      <c r="F6" s="58">
        <v>424897</v>
      </c>
      <c r="G6" s="59">
        <f t="shared" si="3"/>
        <v>1.9224985227434176E-2</v>
      </c>
      <c r="H6" s="58">
        <v>424897</v>
      </c>
      <c r="I6" s="59">
        <f t="shared" si="4"/>
        <v>1.9887182114760951E-2</v>
      </c>
      <c r="J6" s="58">
        <v>424897</v>
      </c>
      <c r="K6" s="59">
        <f t="shared" si="5"/>
        <v>2.0099455973351422E-2</v>
      </c>
      <c r="L6" s="58">
        <v>378390</v>
      </c>
      <c r="M6" s="59">
        <f t="shared" si="6"/>
        <v>1.585981630796017E-2</v>
      </c>
      <c r="N6" s="58">
        <v>160106.22168021681</v>
      </c>
      <c r="O6" s="59">
        <f t="shared" si="1"/>
        <v>1.6720042487091726E-2</v>
      </c>
      <c r="P6" s="58">
        <v>317396</v>
      </c>
      <c r="Q6" s="59">
        <f t="shared" si="2"/>
        <v>1.3290462189393818E-2</v>
      </c>
      <c r="R6" s="157"/>
    </row>
    <row r="7" spans="1:41" outlineLevel="1" x14ac:dyDescent="0.25">
      <c r="B7" s="57" t="s">
        <v>16</v>
      </c>
      <c r="C7" s="58" t="s">
        <v>12</v>
      </c>
      <c r="D7" s="58" t="s">
        <v>17</v>
      </c>
      <c r="E7" s="58">
        <v>429119</v>
      </c>
      <c r="F7" s="58">
        <v>429119</v>
      </c>
      <c r="G7" s="59">
        <f t="shared" si="3"/>
        <v>1.9416014789022579E-2</v>
      </c>
      <c r="H7" s="58">
        <v>429119</v>
      </c>
      <c r="I7" s="59">
        <f t="shared" si="4"/>
        <v>2.0084791612800523E-2</v>
      </c>
      <c r="J7" s="58">
        <v>429119</v>
      </c>
      <c r="K7" s="59">
        <f t="shared" si="5"/>
        <v>2.0299174736062128E-2</v>
      </c>
      <c r="L7" s="58">
        <v>557001</v>
      </c>
      <c r="M7" s="59">
        <f t="shared" si="6"/>
        <v>2.3346107305558084E-2</v>
      </c>
      <c r="N7" s="58">
        <v>159146.47317073171</v>
      </c>
      <c r="O7" s="59">
        <f t="shared" si="1"/>
        <v>1.6619815052535403E-2</v>
      </c>
      <c r="P7" s="58">
        <v>283389</v>
      </c>
      <c r="Q7" s="59">
        <f t="shared" si="2"/>
        <v>1.1866472133833208E-2</v>
      </c>
      <c r="R7" s="157"/>
    </row>
    <row r="8" spans="1:41" x14ac:dyDescent="0.25">
      <c r="B8" s="53" t="s">
        <v>18</v>
      </c>
      <c r="C8" s="54">
        <f>SUM(C9:C14)</f>
        <v>0</v>
      </c>
      <c r="D8" s="54">
        <f t="shared" ref="D8:F8" si="7">SUM(D9:D14)</f>
        <v>366009</v>
      </c>
      <c r="E8" s="54">
        <f t="shared" si="7"/>
        <v>747556</v>
      </c>
      <c r="F8" s="54">
        <f t="shared" si="7"/>
        <v>1113565</v>
      </c>
      <c r="G8" s="55">
        <f t="shared" si="3"/>
        <v>5.038461244675236E-2</v>
      </c>
      <c r="H8" s="54">
        <f>SUM(H9:H14)</f>
        <v>804720.5</v>
      </c>
      <c r="I8" s="55">
        <f t="shared" si="4"/>
        <v>3.7664712000747218E-2</v>
      </c>
      <c r="J8" s="54">
        <f>SUM(J9:J14)</f>
        <v>804720.5</v>
      </c>
      <c r="K8" s="55">
        <f t="shared" si="5"/>
        <v>3.8066741494064076E-2</v>
      </c>
      <c r="L8" s="54">
        <f>SUM(L9:L14)</f>
        <v>1217567</v>
      </c>
      <c r="M8" s="55">
        <f t="shared" si="6"/>
        <v>5.1033031958122942E-2</v>
      </c>
      <c r="N8" s="54">
        <f>SUM(N9:N14)</f>
        <v>396381.26421680232</v>
      </c>
      <c r="O8" s="55">
        <f t="shared" si="1"/>
        <v>4.1394466181516168E-2</v>
      </c>
      <c r="P8" s="54">
        <f>SUM(P9:P14)</f>
        <v>617266</v>
      </c>
      <c r="Q8" s="55">
        <f t="shared" si="2"/>
        <v>2.584705047889187E-2</v>
      </c>
      <c r="R8" s="56"/>
    </row>
    <row r="9" spans="1:41" hidden="1" outlineLevel="1" x14ac:dyDescent="0.25">
      <c r="B9" s="57" t="s">
        <v>19</v>
      </c>
      <c r="C9" s="58"/>
      <c r="D9" s="58">
        <v>188480</v>
      </c>
      <c r="E9" s="58">
        <v>188480</v>
      </c>
      <c r="F9" s="58">
        <v>376960</v>
      </c>
      <c r="G9" s="59">
        <f t="shared" si="3"/>
        <v>1.7056016943714798E-2</v>
      </c>
      <c r="H9" s="58">
        <v>376960</v>
      </c>
      <c r="I9" s="59">
        <f t="shared" si="4"/>
        <v>1.76435045904779E-2</v>
      </c>
      <c r="J9" s="58">
        <v>376960</v>
      </c>
      <c r="K9" s="59">
        <f t="shared" si="5"/>
        <v>1.7831829652161707E-2</v>
      </c>
      <c r="L9" s="58">
        <v>255996</v>
      </c>
      <c r="M9" s="59">
        <f t="shared" si="6"/>
        <v>1.0729801357257252E-2</v>
      </c>
      <c r="N9" s="58">
        <v>0</v>
      </c>
      <c r="O9" s="59">
        <f t="shared" si="1"/>
        <v>0</v>
      </c>
      <c r="P9" s="58"/>
      <c r="Q9" s="59">
        <f t="shared" si="2"/>
        <v>0</v>
      </c>
      <c r="R9" s="157" t="s">
        <v>84</v>
      </c>
    </row>
    <row r="10" spans="1:41" hidden="1" outlineLevel="1" x14ac:dyDescent="0.25">
      <c r="B10" s="57" t="s">
        <v>20</v>
      </c>
      <c r="C10" s="58" t="s">
        <v>12</v>
      </c>
      <c r="D10" s="58">
        <v>177529</v>
      </c>
      <c r="E10" s="58">
        <v>187387</v>
      </c>
      <c r="F10" s="58">
        <v>364916</v>
      </c>
      <c r="G10" s="59">
        <f t="shared" si="3"/>
        <v>1.6511071410846321E-2</v>
      </c>
      <c r="H10" s="158">
        <f>+F10-123000</f>
        <v>241916</v>
      </c>
      <c r="I10" s="59">
        <f t="shared" si="4"/>
        <v>1.1322808935988039E-2</v>
      </c>
      <c r="J10" s="158">
        <f>+H10</f>
        <v>241916</v>
      </c>
      <c r="K10" s="59">
        <f t="shared" si="5"/>
        <v>1.1443667503534464E-2</v>
      </c>
      <c r="L10" s="58">
        <f>194101+93995</f>
        <v>288096</v>
      </c>
      <c r="M10" s="59">
        <f t="shared" si="6"/>
        <v>1.207523887803085E-2</v>
      </c>
      <c r="N10" s="58">
        <v>220426.21968563701</v>
      </c>
      <c r="O10" s="59">
        <f t="shared" si="1"/>
        <v>2.3019316299737906E-2</v>
      </c>
      <c r="P10" s="58">
        <f>140624+75997+129388</f>
        <v>346009</v>
      </c>
      <c r="Q10" s="59">
        <f t="shared" si="2"/>
        <v>1.4488586912531871E-2</v>
      </c>
      <c r="R10" s="157" t="s">
        <v>85</v>
      </c>
      <c r="S10" s="60">
        <f>+F10-123000</f>
        <v>241916</v>
      </c>
      <c r="T10" s="61">
        <f>+S10/15*H34</f>
        <v>66123706.666666664</v>
      </c>
    </row>
    <row r="11" spans="1:41" hidden="1" outlineLevel="1" x14ac:dyDescent="0.25">
      <c r="B11" s="57" t="s">
        <v>22</v>
      </c>
      <c r="C11" s="58" t="s">
        <v>12</v>
      </c>
      <c r="D11" s="58" t="s">
        <v>17</v>
      </c>
      <c r="E11" s="58" t="s">
        <v>17</v>
      </c>
      <c r="F11" s="58">
        <v>0</v>
      </c>
      <c r="G11" s="59">
        <f t="shared" si="3"/>
        <v>0</v>
      </c>
      <c r="H11" s="58">
        <v>0</v>
      </c>
      <c r="I11" s="59">
        <f t="shared" si="4"/>
        <v>0</v>
      </c>
      <c r="J11" s="58">
        <v>0</v>
      </c>
      <c r="K11" s="59">
        <f t="shared" si="5"/>
        <v>0</v>
      </c>
      <c r="L11" s="58">
        <v>88889</v>
      </c>
      <c r="M11" s="59">
        <f t="shared" si="6"/>
        <v>3.7256883421820648E-3</v>
      </c>
      <c r="N11" s="58">
        <v>0</v>
      </c>
      <c r="O11" s="59">
        <f t="shared" si="1"/>
        <v>0</v>
      </c>
      <c r="P11" s="58"/>
      <c r="Q11" s="59">
        <f t="shared" si="2"/>
        <v>0</v>
      </c>
      <c r="R11" s="157"/>
    </row>
    <row r="12" spans="1:41" hidden="1" outlineLevel="1" x14ac:dyDescent="0.25">
      <c r="B12" s="57" t="s">
        <v>23</v>
      </c>
      <c r="C12" s="58" t="s">
        <v>12</v>
      </c>
      <c r="D12" s="58" t="s">
        <v>17</v>
      </c>
      <c r="E12" s="58" t="s">
        <v>17</v>
      </c>
      <c r="F12" s="58">
        <v>0</v>
      </c>
      <c r="G12" s="59">
        <f t="shared" si="3"/>
        <v>0</v>
      </c>
      <c r="H12" s="58">
        <v>0</v>
      </c>
      <c r="I12" s="59">
        <f t="shared" si="4"/>
        <v>0</v>
      </c>
      <c r="J12" s="58">
        <v>0</v>
      </c>
      <c r="K12" s="59">
        <f t="shared" si="5"/>
        <v>0</v>
      </c>
      <c r="L12" s="58"/>
      <c r="M12" s="59">
        <f t="shared" si="6"/>
        <v>0</v>
      </c>
      <c r="N12" s="58">
        <v>0</v>
      </c>
      <c r="O12" s="59">
        <f t="shared" si="1"/>
        <v>0</v>
      </c>
      <c r="P12" s="58"/>
      <c r="Q12" s="59">
        <f t="shared" si="2"/>
        <v>0</v>
      </c>
      <c r="R12" s="157"/>
    </row>
    <row r="13" spans="1:41" hidden="1" outlineLevel="1" x14ac:dyDescent="0.25">
      <c r="B13" s="57" t="s">
        <v>24</v>
      </c>
      <c r="C13" s="58" t="s">
        <v>12</v>
      </c>
      <c r="D13" s="58" t="s">
        <v>17</v>
      </c>
      <c r="E13" s="58">
        <v>371689</v>
      </c>
      <c r="F13" s="58">
        <v>371689</v>
      </c>
      <c r="G13" s="59">
        <f t="shared" si="3"/>
        <v>1.6817524092191241E-2</v>
      </c>
      <c r="H13" s="158">
        <f>+F13/2</f>
        <v>185844.5</v>
      </c>
      <c r="I13" s="59">
        <f t="shared" si="4"/>
        <v>8.698398474281277E-3</v>
      </c>
      <c r="J13" s="158">
        <f>+F13/2</f>
        <v>185844.5</v>
      </c>
      <c r="K13" s="59">
        <f t="shared" si="5"/>
        <v>8.7912443383679068E-3</v>
      </c>
      <c r="L13" s="58">
        <v>584586</v>
      </c>
      <c r="M13" s="59">
        <f t="shared" si="6"/>
        <v>2.4502303380652776E-2</v>
      </c>
      <c r="N13" s="58">
        <v>175955.04453116533</v>
      </c>
      <c r="O13" s="59">
        <f t="shared" si="1"/>
        <v>1.8375149881778265E-2</v>
      </c>
      <c r="P13" s="58">
        <v>168528</v>
      </c>
      <c r="Q13" s="59">
        <f t="shared" si="2"/>
        <v>7.0568470045437289E-3</v>
      </c>
      <c r="R13" s="157" t="s">
        <v>86</v>
      </c>
      <c r="S13" s="62"/>
      <c r="T13" s="62">
        <f>+N13/N4</f>
        <v>2.2358609723290058E-2</v>
      </c>
      <c r="V13" s="62">
        <f>+P13/P4</f>
        <v>7.9307137369422614E-3</v>
      </c>
    </row>
    <row r="14" spans="1:41" hidden="1" outlineLevel="1" x14ac:dyDescent="0.25">
      <c r="B14" s="57" t="s">
        <v>26</v>
      </c>
      <c r="C14" s="58" t="s">
        <v>12</v>
      </c>
      <c r="D14" s="58" t="s">
        <v>17</v>
      </c>
      <c r="E14" s="58" t="s">
        <v>17</v>
      </c>
      <c r="F14" s="58">
        <v>0</v>
      </c>
      <c r="G14" s="59">
        <f t="shared" si="3"/>
        <v>0</v>
      </c>
      <c r="H14" s="58">
        <v>0</v>
      </c>
      <c r="I14" s="59">
        <f t="shared" si="4"/>
        <v>0</v>
      </c>
      <c r="J14" s="58">
        <v>0</v>
      </c>
      <c r="K14" s="59">
        <f t="shared" si="5"/>
        <v>0</v>
      </c>
      <c r="L14" s="58"/>
      <c r="M14" s="59">
        <f t="shared" si="6"/>
        <v>0</v>
      </c>
      <c r="N14" s="58">
        <v>0</v>
      </c>
      <c r="O14" s="59">
        <f t="shared" si="1"/>
        <v>0</v>
      </c>
      <c r="P14" s="58">
        <v>102729</v>
      </c>
      <c r="Q14" s="59">
        <f t="shared" si="2"/>
        <v>4.3016165618162717E-3</v>
      </c>
      <c r="R14" s="157"/>
    </row>
    <row r="15" spans="1:41" collapsed="1" x14ac:dyDescent="0.25">
      <c r="B15" s="53" t="s">
        <v>27</v>
      </c>
      <c r="C15" s="54">
        <f>SUM(C16:C24)</f>
        <v>0</v>
      </c>
      <c r="D15" s="54">
        <f t="shared" ref="D15:F15" si="8">SUM(D16:D24)</f>
        <v>321412</v>
      </c>
      <c r="E15" s="54">
        <f t="shared" si="8"/>
        <v>986985</v>
      </c>
      <c r="F15" s="54">
        <f t="shared" si="8"/>
        <v>1338512.3650341465</v>
      </c>
      <c r="G15" s="55">
        <f t="shared" si="3"/>
        <v>6.0562631518978588E-2</v>
      </c>
      <c r="H15" s="54">
        <f>SUM(H16:H24)</f>
        <v>911435.29186341458</v>
      </c>
      <c r="I15" s="55">
        <f t="shared" si="4"/>
        <v>4.2659467200540424E-2</v>
      </c>
      <c r="J15" s="54">
        <f>SUM(J16:J24)</f>
        <v>685791.89674146334</v>
      </c>
      <c r="K15" s="55">
        <f t="shared" si="5"/>
        <v>3.2440906938472638E-2</v>
      </c>
      <c r="L15" s="54">
        <f>SUM(L16:L24)</f>
        <v>1372418</v>
      </c>
      <c r="M15" s="55">
        <f t="shared" si="6"/>
        <v>5.7523447706699649E-2</v>
      </c>
      <c r="N15" s="54">
        <f>SUM(N16:N24)</f>
        <v>946652.59481300809</v>
      </c>
      <c r="O15" s="55">
        <f t="shared" si="1"/>
        <v>9.885981593771434E-2</v>
      </c>
      <c r="P15" s="54">
        <f>SUM(P16:P24)</f>
        <v>1204254</v>
      </c>
      <c r="Q15" s="55">
        <f t="shared" si="2"/>
        <v>5.0426256957952408E-2</v>
      </c>
      <c r="R15" s="56"/>
    </row>
    <row r="16" spans="1:41" outlineLevel="1" x14ac:dyDescent="0.25">
      <c r="B16" s="57" t="s">
        <v>28</v>
      </c>
      <c r="C16" s="58" t="s">
        <v>12</v>
      </c>
      <c r="D16" s="58">
        <v>68934</v>
      </c>
      <c r="E16" s="58">
        <v>252759</v>
      </c>
      <c r="F16" s="58">
        <f>87929000*H33/H34</f>
        <v>343137.56097560975</v>
      </c>
      <c r="G16" s="59">
        <f t="shared" si="3"/>
        <v>1.5525679260465221E-2</v>
      </c>
      <c r="H16" s="158">
        <f>+F16/4*3</f>
        <v>257353.1707317073</v>
      </c>
      <c r="I16" s="59">
        <f t="shared" si="4"/>
        <v>1.2045341280716576E-2</v>
      </c>
      <c r="J16" s="158">
        <f>+F16/4*2</f>
        <v>171568.78048780488</v>
      </c>
      <c r="K16" s="59">
        <f t="shared" si="5"/>
        <v>8.1159413924227018E-3</v>
      </c>
      <c r="L16" s="58">
        <v>298612</v>
      </c>
      <c r="M16" s="59">
        <f t="shared" si="6"/>
        <v>1.2516005886393938E-2</v>
      </c>
      <c r="N16" s="58">
        <v>220691.17004336044</v>
      </c>
      <c r="O16" s="59">
        <f t="shared" si="1"/>
        <v>2.3046985313419047E-2</v>
      </c>
      <c r="P16" s="58">
        <v>219641</v>
      </c>
      <c r="Q16" s="59">
        <f t="shared" si="2"/>
        <v>9.1971241154288254E-3</v>
      </c>
      <c r="R16" s="157" t="s">
        <v>87</v>
      </c>
      <c r="S16" s="63">
        <f>+F16/15*H34</f>
        <v>93790933.333333328</v>
      </c>
      <c r="T16" s="52">
        <f>+S16*15/16</f>
        <v>87929000</v>
      </c>
    </row>
    <row r="17" spans="2:25" outlineLevel="1" x14ac:dyDescent="0.25">
      <c r="B17" s="57" t="s">
        <v>30</v>
      </c>
      <c r="C17" s="58" t="s">
        <v>12</v>
      </c>
      <c r="D17" s="58">
        <v>67090</v>
      </c>
      <c r="E17" s="58">
        <v>226596</v>
      </c>
      <c r="F17" s="58">
        <f>75000000*H33/H34</f>
        <v>292682.92682926828</v>
      </c>
      <c r="G17" s="59">
        <f t="shared" si="3"/>
        <v>1.3242797535908421E-2</v>
      </c>
      <c r="H17" s="158">
        <f>+F17/4*2</f>
        <v>146341.46341463414</v>
      </c>
      <c r="I17" s="59">
        <f t="shared" si="4"/>
        <v>6.849470186580409E-3</v>
      </c>
      <c r="J17" s="158">
        <f>+F17/4*1</f>
        <v>73170.731707317071</v>
      </c>
      <c r="K17" s="59">
        <f t="shared" si="5"/>
        <v>3.4612903844675968E-3</v>
      </c>
      <c r="L17" s="58">
        <v>304120</v>
      </c>
      <c r="M17" s="59">
        <f t="shared" si="6"/>
        <v>1.2746867875939764E-2</v>
      </c>
      <c r="N17" s="58">
        <v>219395.4613387534</v>
      </c>
      <c r="O17" s="59">
        <f t="shared" si="1"/>
        <v>2.2911673241442266E-2</v>
      </c>
      <c r="P17" s="58">
        <f>280137-26000</f>
        <v>254137</v>
      </c>
      <c r="Q17" s="59">
        <f t="shared" si="2"/>
        <v>1.0641590282883138E-2</v>
      </c>
      <c r="R17" s="157" t="s">
        <v>88</v>
      </c>
    </row>
    <row r="18" spans="2:25" outlineLevel="1" x14ac:dyDescent="0.25">
      <c r="B18" s="57" t="s">
        <v>32</v>
      </c>
      <c r="C18" s="58" t="s">
        <v>12</v>
      </c>
      <c r="D18" s="58">
        <v>17663</v>
      </c>
      <c r="E18" s="58">
        <v>52988</v>
      </c>
      <c r="F18" s="58">
        <f>[1]Laboral!K12*16/$H$34*(100%+$H$35)</f>
        <v>86953.0215414634</v>
      </c>
      <c r="G18" s="59">
        <f t="shared" si="3"/>
        <v>3.9342959696477015E-3</v>
      </c>
      <c r="H18" s="158">
        <f>+F18</f>
        <v>86953.0215414634</v>
      </c>
      <c r="I18" s="59">
        <f t="shared" si="4"/>
        <v>4.0698112126558075E-3</v>
      </c>
      <c r="J18" s="158">
        <f>+H18</f>
        <v>86953.0215414634</v>
      </c>
      <c r="K18" s="59">
        <f t="shared" si="5"/>
        <v>4.1132519839455718E-3</v>
      </c>
      <c r="L18" s="58">
        <v>75007</v>
      </c>
      <c r="M18" s="59">
        <f t="shared" si="6"/>
        <v>3.1438390068743056E-3</v>
      </c>
      <c r="N18" s="58">
        <v>67782.657078590782</v>
      </c>
      <c r="O18" s="59">
        <f t="shared" si="1"/>
        <v>7.0786062799334925E-3</v>
      </c>
      <c r="P18" s="58">
        <f>92643-12000</f>
        <v>80643</v>
      </c>
      <c r="Q18" s="59">
        <f t="shared" si="2"/>
        <v>3.3767997780037736E-3</v>
      </c>
      <c r="R18" s="157" t="s">
        <v>89</v>
      </c>
    </row>
    <row r="19" spans="2:25" outlineLevel="1" x14ac:dyDescent="0.25">
      <c r="B19" s="57" t="s">
        <v>34</v>
      </c>
      <c r="C19" s="58" t="s">
        <v>12</v>
      </c>
      <c r="D19" s="58" t="s">
        <v>17</v>
      </c>
      <c r="E19" s="58" t="s">
        <v>17</v>
      </c>
      <c r="F19" s="58">
        <v>0</v>
      </c>
      <c r="G19" s="59">
        <f t="shared" si="3"/>
        <v>0</v>
      </c>
      <c r="H19" s="58">
        <f>+F19</f>
        <v>0</v>
      </c>
      <c r="I19" s="59">
        <f t="shared" si="4"/>
        <v>0</v>
      </c>
      <c r="J19" s="58">
        <f>+H19</f>
        <v>0</v>
      </c>
      <c r="K19" s="59">
        <f t="shared" si="5"/>
        <v>0</v>
      </c>
      <c r="L19" s="58">
        <v>23175</v>
      </c>
      <c r="M19" s="59">
        <f t="shared" si="6"/>
        <v>9.7135559326878861E-4</v>
      </c>
      <c r="N19" s="58">
        <v>0</v>
      </c>
      <c r="O19" s="59">
        <f t="shared" si="1"/>
        <v>0</v>
      </c>
      <c r="P19" s="58">
        <v>0</v>
      </c>
      <c r="Q19" s="59">
        <f t="shared" si="2"/>
        <v>0</v>
      </c>
      <c r="R19" s="157"/>
    </row>
    <row r="20" spans="2:25" outlineLevel="1" x14ac:dyDescent="0.25">
      <c r="B20" s="57" t="s">
        <v>35</v>
      </c>
      <c r="C20" s="58" t="s">
        <v>12</v>
      </c>
      <c r="D20" s="58">
        <v>25199</v>
      </c>
      <c r="E20" s="58">
        <v>75596</v>
      </c>
      <c r="F20" s="58">
        <f>[1]Laboral!K12*16/$H$34*(100%+$H$35)</f>
        <v>86953.0215414634</v>
      </c>
      <c r="G20" s="59">
        <f t="shared" si="3"/>
        <v>3.9342959696477015E-3</v>
      </c>
      <c r="H20" s="158">
        <f>+F20</f>
        <v>86953.0215414634</v>
      </c>
      <c r="I20" s="59">
        <f t="shared" si="4"/>
        <v>4.0698112126558075E-3</v>
      </c>
      <c r="J20" s="158">
        <f>+H20</f>
        <v>86953.0215414634</v>
      </c>
      <c r="K20" s="59">
        <f t="shared" si="5"/>
        <v>4.1132519839455718E-3</v>
      </c>
      <c r="L20" s="58">
        <v>70760</v>
      </c>
      <c r="M20" s="59">
        <f t="shared" si="6"/>
        <v>2.9658304975059111E-3</v>
      </c>
      <c r="N20" s="58">
        <v>52150.901441734415</v>
      </c>
      <c r="O20" s="59">
        <f t="shared" si="1"/>
        <v>5.4461674174506808E-3</v>
      </c>
      <c r="P20" s="58">
        <f>97802-13000</f>
        <v>84802</v>
      </c>
      <c r="Q20" s="59">
        <f t="shared" si="2"/>
        <v>3.5509514126988826E-3</v>
      </c>
      <c r="R20" s="157" t="s">
        <v>89</v>
      </c>
    </row>
    <row r="21" spans="2:25" outlineLevel="1" x14ac:dyDescent="0.25">
      <c r="B21" s="57" t="s">
        <v>37</v>
      </c>
      <c r="C21" s="58" t="s">
        <v>12</v>
      </c>
      <c r="D21" s="58">
        <v>39357</v>
      </c>
      <c r="E21" s="58">
        <v>118070</v>
      </c>
      <c r="F21" s="58">
        <f>40000000*H33/H34</f>
        <v>156097.56097560975</v>
      </c>
      <c r="G21" s="59">
        <f t="shared" si="3"/>
        <v>7.0628253524844913E-3</v>
      </c>
      <c r="H21" s="158">
        <f>+F21/2</f>
        <v>78048.780487804877</v>
      </c>
      <c r="I21" s="59">
        <f t="shared" si="4"/>
        <v>3.6530507661762181E-3</v>
      </c>
      <c r="J21" s="158">
        <f>+H21</f>
        <v>78048.780487804877</v>
      </c>
      <c r="K21" s="59">
        <f t="shared" si="5"/>
        <v>3.6920430767654368E-3</v>
      </c>
      <c r="L21" s="58">
        <v>118049</v>
      </c>
      <c r="M21" s="59">
        <f t="shared" si="6"/>
        <v>4.9478988750717252E-3</v>
      </c>
      <c r="N21" s="58">
        <v>108729.03730081301</v>
      </c>
      <c r="O21" s="59">
        <f t="shared" si="1"/>
        <v>1.1354675066164567E-2</v>
      </c>
      <c r="P21" s="58">
        <v>162113</v>
      </c>
      <c r="Q21" s="59">
        <f t="shared" si="2"/>
        <v>6.7882288904371826E-3</v>
      </c>
      <c r="R21" s="157" t="s">
        <v>90</v>
      </c>
      <c r="S21" s="52">
        <f>40*16/4.1</f>
        <v>156.09756097560978</v>
      </c>
    </row>
    <row r="22" spans="2:25" outlineLevel="1" x14ac:dyDescent="0.25">
      <c r="B22" s="57" t="s">
        <v>39</v>
      </c>
      <c r="C22" s="58" t="s">
        <v>12</v>
      </c>
      <c r="D22" s="58">
        <v>62640</v>
      </c>
      <c r="E22" s="58">
        <v>187921</v>
      </c>
      <c r="F22" s="58">
        <f>[1]Social!K20*H33/H34</f>
        <v>254005.34634146342</v>
      </c>
      <c r="G22" s="59">
        <f t="shared" si="3"/>
        <v>1.1492783030014182E-2</v>
      </c>
      <c r="H22" s="158">
        <f>+F22-(8000000*H33/H34)</f>
        <v>222785.83414634145</v>
      </c>
      <c r="I22" s="59">
        <f t="shared" si="4"/>
        <v>1.0427427014681726E-2</v>
      </c>
      <c r="J22" s="158">
        <f>+(19000000+21000000)*H33/H34</f>
        <v>156097.56097560975</v>
      </c>
      <c r="K22" s="59">
        <f t="shared" si="5"/>
        <v>7.3840861535308736E-3</v>
      </c>
      <c r="L22" s="58">
        <v>308990</v>
      </c>
      <c r="M22" s="59">
        <f t="shared" si="6"/>
        <v>1.2950988770835944E-2</v>
      </c>
      <c r="N22" s="58">
        <v>157456.84724119242</v>
      </c>
      <c r="O22" s="59">
        <f t="shared" si="1"/>
        <v>1.6443365836304354E-2</v>
      </c>
      <c r="P22" s="58">
        <v>325000</v>
      </c>
      <c r="Q22" s="59">
        <f t="shared" si="2"/>
        <v>1.3608867823012863E-2</v>
      </c>
      <c r="R22" s="157" t="s">
        <v>91</v>
      </c>
      <c r="Y22" s="52">
        <f>65*16/4.1</f>
        <v>253.65853658536588</v>
      </c>
    </row>
    <row r="23" spans="2:25" outlineLevel="1" x14ac:dyDescent="0.25">
      <c r="B23" s="57" t="s">
        <v>41</v>
      </c>
      <c r="C23" s="58"/>
      <c r="D23" s="58">
        <v>17663</v>
      </c>
      <c r="E23" s="58">
        <v>35326</v>
      </c>
      <c r="F23" s="58">
        <f>18000000*12/H34</f>
        <v>52682.92682926829</v>
      </c>
      <c r="G23" s="59">
        <f t="shared" si="3"/>
        <v>2.3837035564635159E-3</v>
      </c>
      <c r="H23" s="158"/>
      <c r="I23" s="59">
        <f t="shared" si="4"/>
        <v>0</v>
      </c>
      <c r="J23" s="158"/>
      <c r="K23" s="59">
        <f t="shared" si="5"/>
        <v>0</v>
      </c>
      <c r="L23" s="58">
        <v>89798</v>
      </c>
      <c r="M23" s="59">
        <f t="shared" si="6"/>
        <v>3.7637881149665884E-3</v>
      </c>
      <c r="N23" s="58">
        <v>60975.609756097561</v>
      </c>
      <c r="O23" s="59">
        <f t="shared" si="1"/>
        <v>6.3677399610027156E-3</v>
      </c>
      <c r="P23" s="58">
        <v>0</v>
      </c>
      <c r="Q23" s="59">
        <f t="shared" si="2"/>
        <v>0</v>
      </c>
      <c r="R23" s="157"/>
      <c r="S23" s="52">
        <f>18000000*12/H34</f>
        <v>52682.92682926829</v>
      </c>
    </row>
    <row r="24" spans="2:25" outlineLevel="1" x14ac:dyDescent="0.25">
      <c r="B24" s="57" t="s">
        <v>43</v>
      </c>
      <c r="C24" s="58" t="s">
        <v>12</v>
      </c>
      <c r="D24" s="58">
        <v>22866</v>
      </c>
      <c r="E24" s="58">
        <v>37729</v>
      </c>
      <c r="F24" s="58">
        <v>66000</v>
      </c>
      <c r="G24" s="59">
        <f t="shared" si="3"/>
        <v>2.9862508443473492E-3</v>
      </c>
      <c r="H24" s="158">
        <f>+F24/2</f>
        <v>33000</v>
      </c>
      <c r="I24" s="59">
        <f t="shared" si="4"/>
        <v>1.5445555270738823E-3</v>
      </c>
      <c r="J24" s="158">
        <f>+H24</f>
        <v>33000</v>
      </c>
      <c r="K24" s="59">
        <f t="shared" si="5"/>
        <v>1.5610419633948862E-3</v>
      </c>
      <c r="L24" s="58">
        <v>83907</v>
      </c>
      <c r="M24" s="59">
        <f t="shared" si="6"/>
        <v>3.516873085842686E-3</v>
      </c>
      <c r="N24" s="58">
        <v>59470.910612466134</v>
      </c>
      <c r="O24" s="59">
        <f t="shared" si="1"/>
        <v>6.2106028219972255E-3</v>
      </c>
      <c r="P24" s="58">
        <v>77918</v>
      </c>
      <c r="Q24" s="59">
        <f t="shared" si="2"/>
        <v>3.2626946554877427E-3</v>
      </c>
      <c r="R24" s="157" t="s">
        <v>92</v>
      </c>
    </row>
    <row r="25" spans="2:25" x14ac:dyDescent="0.25">
      <c r="B25" s="64" t="s">
        <v>45</v>
      </c>
      <c r="C25" s="65">
        <f>+C3+C8+C15</f>
        <v>0</v>
      </c>
      <c r="D25" s="65">
        <f t="shared" ref="D25:F25" si="9">+D3+D8+D15</f>
        <v>1750556</v>
      </c>
      <c r="E25" s="65">
        <f t="shared" si="9"/>
        <v>20320620</v>
      </c>
      <c r="F25" s="65">
        <f t="shared" si="9"/>
        <v>22101291.365034148</v>
      </c>
      <c r="G25" s="66">
        <f t="shared" si="3"/>
        <v>1</v>
      </c>
      <c r="H25" s="65">
        <f>+H3+H8+H15</f>
        <v>21365369.791863415</v>
      </c>
      <c r="I25" s="66">
        <f t="shared" si="4"/>
        <v>1</v>
      </c>
      <c r="J25" s="65">
        <f t="shared" ref="J25" si="10">+J3+J8+J15</f>
        <v>21139726.396741465</v>
      </c>
      <c r="K25" s="66">
        <f t="shared" si="5"/>
        <v>1</v>
      </c>
      <c r="L25" s="67">
        <f>+L3+L8+L15</f>
        <v>23858410</v>
      </c>
      <c r="M25" s="108">
        <f t="shared" si="6"/>
        <v>1</v>
      </c>
      <c r="N25" s="68">
        <f>+N3+N8+N15</f>
        <v>9575706.6289647687</v>
      </c>
      <c r="O25" s="110">
        <f t="shared" si="1"/>
        <v>1</v>
      </c>
      <c r="P25" s="159">
        <f>+P3+P8+P15</f>
        <v>23881487</v>
      </c>
      <c r="Q25" s="112">
        <f t="shared" si="2"/>
        <v>1</v>
      </c>
      <c r="R25" s="65"/>
    </row>
    <row r="26" spans="2:25" hidden="1" outlineLevel="1" x14ac:dyDescent="0.25">
      <c r="B26" s="69" t="s">
        <v>46</v>
      </c>
      <c r="C26" s="70">
        <v>0</v>
      </c>
      <c r="D26" s="70">
        <f>+D25*0.15</f>
        <v>262583.39999999997</v>
      </c>
      <c r="E26" s="70">
        <f>+E25*0.15</f>
        <v>3048093</v>
      </c>
      <c r="F26" s="70">
        <f>+F25*F32</f>
        <v>3315193.7047551223</v>
      </c>
      <c r="G26" s="71">
        <f t="shared" ref="G26" si="11">+F26/$F$27</f>
        <v>0.13043478260869565</v>
      </c>
      <c r="H26" s="70">
        <f>+H25*H32</f>
        <v>2136536.9791863416</v>
      </c>
      <c r="I26" s="59">
        <f t="shared" ref="I26" si="12">+H26/$H$27</f>
        <v>9.0909090909090912E-2</v>
      </c>
      <c r="J26" s="70">
        <f>+J25*J32</f>
        <v>1056986.3198370733</v>
      </c>
      <c r="K26" s="59">
        <f t="shared" ref="K26" si="13">+J26/$J$27</f>
        <v>4.7619047619047623E-2</v>
      </c>
      <c r="L26" s="70">
        <v>0</v>
      </c>
      <c r="M26" s="71">
        <f>+L26/L25</f>
        <v>0</v>
      </c>
      <c r="N26" s="70">
        <v>0</v>
      </c>
      <c r="O26" s="71">
        <f>+N26/N25</f>
        <v>0</v>
      </c>
      <c r="P26" s="70">
        <v>493025</v>
      </c>
      <c r="Q26" s="71">
        <f>+P26/P25</f>
        <v>2.0644652487510514E-2</v>
      </c>
      <c r="R26" s="72"/>
    </row>
    <row r="27" spans="2:25" collapsed="1" x14ac:dyDescent="0.25">
      <c r="B27" s="73" t="s">
        <v>47</v>
      </c>
      <c r="C27" s="74">
        <f t="shared" ref="C27:H27" si="14">+C25+C26</f>
        <v>0</v>
      </c>
      <c r="D27" s="74">
        <f t="shared" si="14"/>
        <v>2013139.4</v>
      </c>
      <c r="E27" s="74">
        <f t="shared" si="14"/>
        <v>23368713</v>
      </c>
      <c r="F27" s="74">
        <f t="shared" si="14"/>
        <v>25416485.069789272</v>
      </c>
      <c r="G27" s="75">
        <f t="shared" si="3"/>
        <v>1.1500000000000001</v>
      </c>
      <c r="H27" s="74">
        <f t="shared" si="14"/>
        <v>23501906.771049757</v>
      </c>
      <c r="I27" s="75">
        <f t="shared" si="4"/>
        <v>1.1000000000000001</v>
      </c>
      <c r="J27" s="74">
        <f t="shared" ref="J27" si="15">+J25+J26</f>
        <v>22196712.716578539</v>
      </c>
      <c r="K27" s="66">
        <f t="shared" si="5"/>
        <v>1.05</v>
      </c>
      <c r="L27" s="76">
        <f>+L25+L26</f>
        <v>23858410</v>
      </c>
      <c r="M27" s="117">
        <f>+M25+M26</f>
        <v>1</v>
      </c>
      <c r="N27" s="77">
        <f t="shared" ref="N27:O27" si="16">+N25+N26</f>
        <v>9575706.6289647687</v>
      </c>
      <c r="O27" s="119">
        <f t="shared" si="16"/>
        <v>1</v>
      </c>
      <c r="P27" s="160">
        <f>+P25+P26</f>
        <v>24374512</v>
      </c>
      <c r="Q27" s="121">
        <f>+Q25+Q26</f>
        <v>1.0206446524875106</v>
      </c>
      <c r="R27" s="74"/>
    </row>
    <row r="28" spans="2:25" s="52" customFormat="1" x14ac:dyDescent="0.25">
      <c r="F28" s="78"/>
      <c r="G28" s="78"/>
      <c r="H28" s="78"/>
      <c r="I28" s="78"/>
      <c r="J28" s="78"/>
      <c r="K28" s="78"/>
      <c r="L28" s="78"/>
      <c r="M28" s="78"/>
      <c r="N28" s="78"/>
      <c r="O28" s="78"/>
      <c r="Q28" s="78"/>
      <c r="R28" s="78"/>
    </row>
    <row r="29" spans="2:25" s="82" customFormat="1" x14ac:dyDescent="0.25">
      <c r="B29" s="73" t="s">
        <v>48</v>
      </c>
      <c r="C29" s="74"/>
      <c r="D29" s="74"/>
      <c r="E29" s="74"/>
      <c r="F29" s="79">
        <v>236</v>
      </c>
      <c r="G29" s="79"/>
      <c r="H29" s="79">
        <v>236</v>
      </c>
      <c r="I29" s="79"/>
      <c r="J29" s="79"/>
      <c r="K29" s="79"/>
      <c r="L29" s="80">
        <v>312</v>
      </c>
      <c r="M29" s="80"/>
      <c r="N29" s="81">
        <v>101</v>
      </c>
      <c r="O29" s="81"/>
      <c r="P29" s="122">
        <v>193</v>
      </c>
      <c r="Q29" s="122"/>
      <c r="R29" s="79"/>
    </row>
    <row r="30" spans="2:25" s="82" customFormat="1" x14ac:dyDescent="0.25">
      <c r="B30" s="53" t="s">
        <v>49</v>
      </c>
      <c r="C30" s="54"/>
      <c r="D30" s="54"/>
      <c r="E30" s="54"/>
      <c r="F30" s="54">
        <f>+F4/F29</f>
        <v>78747.618644067799</v>
      </c>
      <c r="G30" s="55"/>
      <c r="H30" s="54">
        <f>+H4/H29</f>
        <v>78747.618644067799</v>
      </c>
      <c r="I30" s="55"/>
      <c r="J30" s="54"/>
      <c r="K30" s="55"/>
      <c r="L30" s="54">
        <f>+L4/L29</f>
        <v>65008.157051282054</v>
      </c>
      <c r="M30" s="55"/>
      <c r="N30" s="54">
        <f>+N4/N29</f>
        <v>77917.597531084815</v>
      </c>
      <c r="O30" s="55"/>
      <c r="P30" s="54">
        <f>+P4/P29</f>
        <v>110103.84455958549</v>
      </c>
      <c r="Q30" s="55"/>
      <c r="R30" s="55"/>
    </row>
    <row r="31" spans="2:25" s="82" customFormat="1" x14ac:dyDescent="0.25">
      <c r="B31" s="73" t="s">
        <v>50</v>
      </c>
      <c r="C31" s="74"/>
      <c r="D31" s="74"/>
      <c r="E31" s="74"/>
      <c r="F31" s="74">
        <f>+F25/F29</f>
        <v>93649.539682348084</v>
      </c>
      <c r="G31" s="75">
        <f>+(F31-F30)/F30</f>
        <v>0.1892364657480709</v>
      </c>
      <c r="H31" s="74">
        <f>+H25/H29</f>
        <v>90531.227931624642</v>
      </c>
      <c r="I31" s="75"/>
      <c r="J31" s="74"/>
      <c r="K31" s="75"/>
      <c r="L31" s="76">
        <f>+L25/L29</f>
        <v>76469.262820512828</v>
      </c>
      <c r="M31" s="117">
        <f>+(L31-L30)/L30</f>
        <v>0.17630257938537797</v>
      </c>
      <c r="N31" s="77">
        <f>+N25/N29</f>
        <v>94808.976524403653</v>
      </c>
      <c r="O31" s="119">
        <f>+(N31-N30)/N30</f>
        <v>0.21678516187027086</v>
      </c>
      <c r="P31" s="160">
        <f>+P25/P29</f>
        <v>123738.27461139897</v>
      </c>
      <c r="Q31" s="121">
        <f>+(P31-P30)/P30</f>
        <v>0.12383246113113577</v>
      </c>
      <c r="R31" s="75"/>
    </row>
    <row r="32" spans="2:25" s="82" customFormat="1" x14ac:dyDescent="0.25">
      <c r="B32" s="82" t="s">
        <v>93</v>
      </c>
      <c r="F32" s="83">
        <v>0.15</v>
      </c>
      <c r="G32" s="84"/>
      <c r="H32" s="83">
        <v>0.1</v>
      </c>
      <c r="J32" s="83">
        <v>0.05</v>
      </c>
      <c r="L32" s="85"/>
      <c r="M32" s="84"/>
      <c r="N32" s="85"/>
      <c r="O32" s="84"/>
      <c r="P32" s="85"/>
      <c r="Q32" s="84"/>
    </row>
    <row r="33" spans="2:20" s="52" customFormat="1" x14ac:dyDescent="0.25">
      <c r="B33" s="52" t="s">
        <v>51</v>
      </c>
      <c r="H33" s="78">
        <v>16</v>
      </c>
      <c r="I33" s="78"/>
      <c r="J33" s="78"/>
      <c r="K33" s="78"/>
      <c r="L33" s="78"/>
      <c r="M33" s="78"/>
      <c r="N33" s="78"/>
      <c r="O33" s="78"/>
      <c r="Q33" s="78"/>
      <c r="R33" s="78"/>
    </row>
    <row r="34" spans="2:20" s="52" customFormat="1" x14ac:dyDescent="0.25">
      <c r="B34" s="52" t="s">
        <v>52</v>
      </c>
      <c r="H34" s="78">
        <v>4100</v>
      </c>
      <c r="I34" s="78"/>
      <c r="J34" s="78"/>
      <c r="K34" s="78"/>
      <c r="L34" s="78"/>
      <c r="M34" s="78"/>
      <c r="N34" s="78"/>
      <c r="O34" s="78"/>
      <c r="Q34" s="78"/>
      <c r="R34" s="78"/>
    </row>
    <row r="35" spans="2:20" s="52" customFormat="1" x14ac:dyDescent="0.25">
      <c r="B35" s="52" t="s">
        <v>53</v>
      </c>
      <c r="H35" s="86">
        <v>0.13</v>
      </c>
      <c r="I35" s="78"/>
      <c r="J35" s="78"/>
      <c r="K35" s="78"/>
      <c r="L35" s="78"/>
      <c r="M35" s="78"/>
      <c r="N35" s="78"/>
      <c r="O35" s="78"/>
      <c r="Q35" s="78"/>
      <c r="R35" s="78"/>
    </row>
    <row r="36" spans="2:20" s="52" customFormat="1" x14ac:dyDescent="0.25">
      <c r="B36" s="87" t="s">
        <v>94</v>
      </c>
    </row>
    <row r="37" spans="2:20" s="52" customFormat="1" x14ac:dyDescent="0.25">
      <c r="B37" s="88" t="s">
        <v>55</v>
      </c>
    </row>
    <row r="38" spans="2:20" s="52" customFormat="1" x14ac:dyDescent="0.25">
      <c r="B38" s="88" t="s">
        <v>56</v>
      </c>
    </row>
    <row r="39" spans="2:20" s="52" customFormat="1" x14ac:dyDescent="0.25">
      <c r="B39" s="88" t="s">
        <v>57</v>
      </c>
      <c r="O39" s="89"/>
    </row>
    <row r="40" spans="2:20" s="52" customFormat="1" x14ac:dyDescent="0.25"/>
    <row r="41" spans="2:20" s="52" customFormat="1" x14ac:dyDescent="0.25">
      <c r="B41" s="87" t="s">
        <v>95</v>
      </c>
      <c r="S41" s="61">
        <v>17.399999999999999</v>
      </c>
      <c r="T41" s="52" t="s">
        <v>60</v>
      </c>
    </row>
    <row r="42" spans="2:20" s="52" customFormat="1" x14ac:dyDescent="0.25">
      <c r="B42" s="88" t="s">
        <v>96</v>
      </c>
      <c r="H42" s="60">
        <f>+H13-F13</f>
        <v>-185844.5</v>
      </c>
      <c r="J42" s="60">
        <f>+J13-F13</f>
        <v>-185844.5</v>
      </c>
      <c r="S42" s="61">
        <v>1.7</v>
      </c>
      <c r="T42" s="52" t="s">
        <v>61</v>
      </c>
    </row>
    <row r="43" spans="2:20" s="52" customFormat="1" x14ac:dyDescent="0.25">
      <c r="B43" s="88" t="s">
        <v>97</v>
      </c>
      <c r="H43" s="60">
        <f>+H10-F10</f>
        <v>-123000</v>
      </c>
      <c r="J43" s="60">
        <f>+J10-F10</f>
        <v>-123000</v>
      </c>
      <c r="S43" s="61">
        <f>+S41+S42</f>
        <v>19.099999999999998</v>
      </c>
    </row>
    <row r="44" spans="2:20" s="52" customFormat="1" x14ac:dyDescent="0.25">
      <c r="B44" s="88" t="s">
        <v>98</v>
      </c>
      <c r="H44" s="60">
        <f>+H16-F16</f>
        <v>-85784.390243902453</v>
      </c>
      <c r="J44" s="60">
        <f>+J16-F16</f>
        <v>-171568.78048780488</v>
      </c>
      <c r="R44" s="90">
        <v>0.05</v>
      </c>
      <c r="S44" s="61">
        <f>+S43*R44</f>
        <v>0.95499999999999996</v>
      </c>
      <c r="T44" s="52" t="s">
        <v>62</v>
      </c>
    </row>
    <row r="45" spans="2:20" s="52" customFormat="1" x14ac:dyDescent="0.25">
      <c r="B45" s="88" t="s">
        <v>99</v>
      </c>
      <c r="H45" s="60">
        <f>+H17-F17</f>
        <v>-146341.46341463414</v>
      </c>
      <c r="J45" s="60">
        <f>+J17-F17</f>
        <v>-219512.19512195123</v>
      </c>
      <c r="S45" s="61">
        <f>+S43+S44</f>
        <v>20.054999999999996</v>
      </c>
    </row>
    <row r="46" spans="2:20" s="52" customFormat="1" x14ac:dyDescent="0.25">
      <c r="B46" s="88" t="s">
        <v>100</v>
      </c>
      <c r="H46" s="60">
        <f>+H20-F20</f>
        <v>0</v>
      </c>
      <c r="J46" s="60">
        <f>+J20-F20</f>
        <v>0</v>
      </c>
    </row>
    <row r="47" spans="2:20" s="52" customFormat="1" x14ac:dyDescent="0.25">
      <c r="B47" s="88" t="s">
        <v>101</v>
      </c>
      <c r="H47" s="60">
        <f>+H18-F18</f>
        <v>0</v>
      </c>
      <c r="J47" s="60">
        <f>+J18-F18</f>
        <v>0</v>
      </c>
    </row>
    <row r="48" spans="2:20" s="52" customFormat="1" x14ac:dyDescent="0.25">
      <c r="B48" s="88" t="s">
        <v>102</v>
      </c>
      <c r="H48" s="60">
        <f>+H21-F21</f>
        <v>-78048.780487804877</v>
      </c>
      <c r="J48" s="60">
        <f>+J21-F21</f>
        <v>-78048.780487804877</v>
      </c>
    </row>
    <row r="49" spans="2:18" s="52" customFormat="1" x14ac:dyDescent="0.25">
      <c r="B49" s="88" t="s">
        <v>103</v>
      </c>
      <c r="H49" s="60">
        <f>+H22-F22</f>
        <v>-31219.512195121963</v>
      </c>
      <c r="J49" s="60">
        <f>+J22-F22</f>
        <v>-97907.785365853662</v>
      </c>
    </row>
    <row r="50" spans="2:18" s="52" customFormat="1" x14ac:dyDescent="0.25">
      <c r="B50" s="88" t="s">
        <v>104</v>
      </c>
      <c r="H50" s="60">
        <f>+H23-F23</f>
        <v>-52682.92682926829</v>
      </c>
      <c r="J50" s="60">
        <f>+J23-F23</f>
        <v>-52682.92682926829</v>
      </c>
    </row>
    <row r="51" spans="2:18" s="52" customFormat="1" x14ac:dyDescent="0.25">
      <c r="B51" s="88" t="s">
        <v>105</v>
      </c>
      <c r="H51" s="60">
        <f>+H24-F24</f>
        <v>-33000</v>
      </c>
      <c r="J51" s="60">
        <f>+J24-F24</f>
        <v>-33000</v>
      </c>
    </row>
    <row r="52" spans="2:18" s="52" customFormat="1" x14ac:dyDescent="0.25">
      <c r="H52" s="91">
        <f>SUM(H42:H51)</f>
        <v>-735921.57317073178</v>
      </c>
      <c r="J52" s="91">
        <f>SUM(J42:J51)</f>
        <v>-961564.96829268301</v>
      </c>
    </row>
    <row r="53" spans="2:18" s="52" customFormat="1" x14ac:dyDescent="0.25">
      <c r="F53" s="78"/>
      <c r="G53" s="78"/>
      <c r="H53" s="78"/>
      <c r="I53" s="78"/>
      <c r="J53" s="78"/>
      <c r="K53" s="78"/>
      <c r="L53" s="78"/>
      <c r="M53" s="78"/>
    </row>
    <row r="54" spans="2:18" s="52" customFormat="1" x14ac:dyDescent="0.25">
      <c r="F54" s="78"/>
      <c r="G54" s="78"/>
      <c r="H54" s="78"/>
      <c r="I54" s="78"/>
      <c r="J54" s="78"/>
      <c r="K54" s="78"/>
      <c r="L54" s="78"/>
      <c r="M54" s="78"/>
      <c r="N54" s="78"/>
    </row>
    <row r="55" spans="2:18" s="92" customFormat="1" x14ac:dyDescent="0.25">
      <c r="B55" s="52"/>
      <c r="C55" s="52"/>
      <c r="D55" s="52"/>
      <c r="E55" s="52"/>
      <c r="F55" s="78"/>
      <c r="G55" s="78"/>
      <c r="H55" s="78"/>
      <c r="I55" s="78"/>
      <c r="J55" s="78"/>
      <c r="K55" s="78"/>
      <c r="L55" s="78"/>
      <c r="M55" s="78"/>
      <c r="N55" s="78"/>
      <c r="O55" s="78"/>
      <c r="Q55" s="78"/>
      <c r="R55" s="78"/>
    </row>
    <row r="56" spans="2:18" s="92" customFormat="1" x14ac:dyDescent="0.25">
      <c r="B56" s="52"/>
      <c r="C56" s="52"/>
      <c r="D56" s="52"/>
      <c r="E56" s="52"/>
      <c r="F56" s="78"/>
      <c r="G56" s="78"/>
      <c r="H56" s="78"/>
      <c r="I56" s="78"/>
      <c r="J56" s="78"/>
      <c r="K56" s="78"/>
      <c r="L56" s="78"/>
      <c r="M56" s="78"/>
      <c r="N56" s="78"/>
      <c r="O56" s="78"/>
      <c r="Q56" s="78"/>
      <c r="R56" s="78"/>
    </row>
    <row r="57" spans="2:18" s="92" customFormat="1" x14ac:dyDescent="0.25">
      <c r="B57" s="52"/>
      <c r="C57" s="52"/>
      <c r="D57" s="52"/>
      <c r="E57" s="52"/>
      <c r="F57" s="78"/>
      <c r="G57" s="78"/>
      <c r="H57" s="78"/>
      <c r="I57" s="78"/>
      <c r="J57" s="78"/>
      <c r="K57" s="78"/>
      <c r="L57" s="78"/>
      <c r="M57" s="78"/>
      <c r="N57" s="78"/>
      <c r="O57" s="78"/>
      <c r="Q57" s="78"/>
      <c r="R57" s="78"/>
    </row>
    <row r="58" spans="2:18" s="92" customFormat="1" x14ac:dyDescent="0.25">
      <c r="B58" s="52"/>
      <c r="C58" s="52"/>
      <c r="D58" s="52"/>
      <c r="E58" s="52"/>
      <c r="F58" s="78"/>
      <c r="G58" s="78"/>
      <c r="H58" s="78"/>
      <c r="I58" s="78"/>
      <c r="J58" s="78"/>
      <c r="K58" s="78"/>
      <c r="L58" s="78"/>
      <c r="M58" s="78"/>
      <c r="N58" s="78"/>
      <c r="O58" s="78"/>
      <c r="Q58" s="78"/>
      <c r="R58" s="78"/>
    </row>
    <row r="59" spans="2:18" s="92" customFormat="1" x14ac:dyDescent="0.25">
      <c r="B59" s="52"/>
      <c r="C59" s="52"/>
      <c r="D59" s="52"/>
      <c r="E59" s="52"/>
      <c r="F59" s="78"/>
      <c r="G59" s="78"/>
      <c r="H59" s="78"/>
      <c r="I59" s="78"/>
      <c r="J59" s="78"/>
      <c r="K59" s="78"/>
      <c r="L59" s="78"/>
      <c r="M59" s="78"/>
      <c r="N59" s="78"/>
      <c r="O59" s="78"/>
      <c r="Q59" s="78"/>
      <c r="R59" s="78"/>
    </row>
    <row r="60" spans="2:18" s="92" customFormat="1" x14ac:dyDescent="0.25">
      <c r="B60" s="52"/>
      <c r="C60" s="52"/>
      <c r="D60" s="52"/>
      <c r="E60" s="52"/>
      <c r="F60" s="78"/>
      <c r="G60" s="78"/>
      <c r="H60" s="78"/>
      <c r="I60" s="78"/>
      <c r="J60" s="78"/>
      <c r="K60" s="78"/>
      <c r="L60" s="78"/>
      <c r="M60" s="78"/>
      <c r="N60" s="78"/>
      <c r="O60" s="78"/>
      <c r="Q60" s="78"/>
      <c r="R60" s="78"/>
    </row>
    <row r="61" spans="2:18" s="92" customFormat="1" x14ac:dyDescent="0.25">
      <c r="B61" s="52"/>
      <c r="C61" s="52"/>
      <c r="D61" s="52"/>
      <c r="E61" s="52"/>
      <c r="F61" s="78"/>
      <c r="G61" s="78"/>
      <c r="H61" s="78"/>
      <c r="I61" s="78"/>
      <c r="J61" s="78"/>
      <c r="K61" s="78"/>
      <c r="L61" s="78"/>
      <c r="M61" s="78"/>
      <c r="N61" s="78"/>
      <c r="O61" s="78"/>
      <c r="Q61" s="78"/>
      <c r="R61" s="78"/>
    </row>
    <row r="62" spans="2:18" s="92" customFormat="1" x14ac:dyDescent="0.25">
      <c r="B62" s="52"/>
      <c r="C62" s="52"/>
      <c r="D62" s="52"/>
      <c r="E62" s="52"/>
      <c r="F62" s="78"/>
      <c r="G62" s="78"/>
      <c r="H62" s="78"/>
      <c r="I62" s="78"/>
      <c r="J62" s="78"/>
      <c r="K62" s="78"/>
      <c r="L62" s="78"/>
      <c r="M62" s="78"/>
      <c r="N62" s="78"/>
      <c r="O62" s="78"/>
      <c r="Q62" s="78"/>
      <c r="R62" s="78"/>
    </row>
    <row r="63" spans="2:18" s="92" customFormat="1" x14ac:dyDescent="0.25">
      <c r="B63" s="52"/>
      <c r="C63" s="52"/>
      <c r="D63" s="52"/>
      <c r="E63" s="52"/>
      <c r="F63" s="78"/>
      <c r="G63" s="78"/>
      <c r="H63" s="78"/>
      <c r="I63" s="78"/>
      <c r="J63" s="78"/>
      <c r="K63" s="78"/>
      <c r="L63" s="78"/>
      <c r="M63" s="78"/>
      <c r="N63" s="78"/>
      <c r="O63" s="78"/>
      <c r="Q63" s="78"/>
      <c r="R63" s="78"/>
    </row>
    <row r="64" spans="2:18" s="92" customFormat="1" x14ac:dyDescent="0.25">
      <c r="B64" s="52"/>
      <c r="C64" s="52"/>
      <c r="D64" s="52"/>
      <c r="E64" s="52"/>
      <c r="F64" s="78"/>
      <c r="G64" s="78"/>
      <c r="H64" s="78"/>
      <c r="I64" s="78"/>
      <c r="J64" s="78"/>
      <c r="K64" s="78"/>
      <c r="L64" s="78"/>
      <c r="M64" s="78"/>
      <c r="N64" s="78"/>
      <c r="O64" s="78"/>
      <c r="Q64" s="78"/>
      <c r="R64" s="78"/>
    </row>
    <row r="65" s="52" customFormat="1" x14ac:dyDescent="0.25"/>
    <row r="66" s="52" customFormat="1" x14ac:dyDescent="0.25"/>
    <row r="67" s="52" customFormat="1" x14ac:dyDescent="0.25"/>
    <row r="68" s="52" customFormat="1" x14ac:dyDescent="0.25"/>
    <row r="69" s="52" customFormat="1" x14ac:dyDescent="0.25"/>
    <row r="70" s="52" customFormat="1" x14ac:dyDescent="0.25"/>
    <row r="71" s="52" customFormat="1" x14ac:dyDescent="0.25"/>
    <row r="72" s="52" customFormat="1" x14ac:dyDescent="0.25"/>
    <row r="73" s="52" customFormat="1" x14ac:dyDescent="0.25"/>
    <row r="74" s="52" customFormat="1" x14ac:dyDescent="0.25"/>
    <row r="75" s="52" customFormat="1" x14ac:dyDescent="0.25"/>
    <row r="76" s="52" customFormat="1" x14ac:dyDescent="0.25"/>
    <row r="77" s="52" customFormat="1" x14ac:dyDescent="0.25"/>
    <row r="78" s="52" customFormat="1" x14ac:dyDescent="0.25"/>
    <row r="79" s="52" customFormat="1" x14ac:dyDescent="0.25"/>
    <row r="80" s="52" customFormat="1" x14ac:dyDescent="0.25"/>
    <row r="81" s="52" customFormat="1" x14ac:dyDescent="0.25"/>
    <row r="82" s="52" customFormat="1" x14ac:dyDescent="0.25"/>
    <row r="83" s="52" customFormat="1" x14ac:dyDescent="0.25"/>
    <row r="84" s="52" customFormat="1" x14ac:dyDescent="0.25"/>
    <row r="85" s="52" customFormat="1" x14ac:dyDescent="0.25"/>
    <row r="86" s="52" customFormat="1" x14ac:dyDescent="0.25"/>
    <row r="87" s="52" customFormat="1" x14ac:dyDescent="0.25"/>
    <row r="88" s="52" customFormat="1" x14ac:dyDescent="0.25"/>
    <row r="89" s="52" customFormat="1" x14ac:dyDescent="0.25"/>
    <row r="90" s="52" customFormat="1" x14ac:dyDescent="0.25"/>
    <row r="91" s="52" customFormat="1" x14ac:dyDescent="0.25"/>
    <row r="92" s="52" customFormat="1" x14ac:dyDescent="0.25"/>
    <row r="93" s="52" customFormat="1" x14ac:dyDescent="0.25"/>
    <row r="94" s="52" customFormat="1" x14ac:dyDescent="0.25"/>
    <row r="95" s="52" customFormat="1" x14ac:dyDescent="0.25"/>
    <row r="96" s="52" customFormat="1" x14ac:dyDescent="0.25"/>
    <row r="97" s="52" customFormat="1" x14ac:dyDescent="0.25"/>
    <row r="98" s="52" customFormat="1" x14ac:dyDescent="0.25"/>
    <row r="99" s="52" customFormat="1" x14ac:dyDescent="0.25"/>
    <row r="100" s="52" customFormat="1" x14ac:dyDescent="0.25"/>
    <row r="101" s="52" customFormat="1" x14ac:dyDescent="0.25"/>
    <row r="102" s="52" customFormat="1" x14ac:dyDescent="0.25"/>
    <row r="103" s="52" customFormat="1" x14ac:dyDescent="0.25"/>
    <row r="104" s="52" customFormat="1" x14ac:dyDescent="0.25"/>
    <row r="105" s="52" customFormat="1" x14ac:dyDescent="0.25"/>
    <row r="106" s="52" customFormat="1" x14ac:dyDescent="0.25"/>
    <row r="107" s="52" customFormat="1" x14ac:dyDescent="0.25"/>
    <row r="108" s="52" customFormat="1" x14ac:dyDescent="0.25"/>
    <row r="109" s="52" customFormat="1" x14ac:dyDescent="0.25"/>
    <row r="110" s="52" customFormat="1" x14ac:dyDescent="0.25"/>
    <row r="111" s="52" customFormat="1" x14ac:dyDescent="0.25"/>
    <row r="112" s="52" customFormat="1" x14ac:dyDescent="0.25"/>
    <row r="113" s="52" customFormat="1" x14ac:dyDescent="0.25"/>
    <row r="114" s="52" customFormat="1" x14ac:dyDescent="0.25"/>
    <row r="115" s="52" customFormat="1" x14ac:dyDescent="0.25"/>
    <row r="116" s="52" customFormat="1" x14ac:dyDescent="0.25"/>
    <row r="117" s="52" customFormat="1" x14ac:dyDescent="0.25"/>
    <row r="118" s="52" customFormat="1" x14ac:dyDescent="0.25"/>
    <row r="119" s="52" customFormat="1" x14ac:dyDescent="0.25"/>
    <row r="120" s="52" customFormat="1" x14ac:dyDescent="0.25"/>
    <row r="121" s="52" customFormat="1" x14ac:dyDescent="0.25"/>
    <row r="122" s="52" customFormat="1" x14ac:dyDescent="0.25"/>
    <row r="123" s="52" customFormat="1" x14ac:dyDescent="0.25"/>
    <row r="124" s="52" customFormat="1" x14ac:dyDescent="0.25"/>
    <row r="125" s="52" customFormat="1" x14ac:dyDescent="0.25"/>
    <row r="126" s="52" customFormat="1" x14ac:dyDescent="0.25"/>
    <row r="127" s="52" customFormat="1" x14ac:dyDescent="0.25"/>
    <row r="128" s="52" customFormat="1" x14ac:dyDescent="0.25"/>
    <row r="129" s="52" customFormat="1" x14ac:dyDescent="0.25"/>
    <row r="130" s="52" customFormat="1" x14ac:dyDescent="0.25"/>
    <row r="131" s="52" customFormat="1" x14ac:dyDescent="0.25"/>
    <row r="132" s="52" customFormat="1" x14ac:dyDescent="0.25"/>
    <row r="133" s="52" customFormat="1" x14ac:dyDescent="0.25"/>
    <row r="134" s="52" customFormat="1" x14ac:dyDescent="0.25"/>
    <row r="135" s="52" customFormat="1" x14ac:dyDescent="0.25"/>
    <row r="136" s="52" customFormat="1" x14ac:dyDescent="0.25"/>
    <row r="137" s="52" customFormat="1" x14ac:dyDescent="0.25"/>
    <row r="138" s="52" customFormat="1" x14ac:dyDescent="0.25"/>
    <row r="139" s="52" customFormat="1" x14ac:dyDescent="0.25"/>
    <row r="140" s="52" customFormat="1" x14ac:dyDescent="0.25"/>
    <row r="141" s="52" customFormat="1" x14ac:dyDescent="0.25"/>
    <row r="142" s="52" customFormat="1" x14ac:dyDescent="0.25"/>
    <row r="143" s="52" customFormat="1" x14ac:dyDescent="0.25"/>
    <row r="144" s="52" customFormat="1" x14ac:dyDescent="0.25"/>
    <row r="145" s="52" customFormat="1" x14ac:dyDescent="0.25"/>
    <row r="146" s="52" customFormat="1" x14ac:dyDescent="0.25"/>
    <row r="147" s="52" customFormat="1" x14ac:dyDescent="0.25"/>
    <row r="148" s="52" customFormat="1" x14ac:dyDescent="0.25"/>
    <row r="149" s="52" customFormat="1" x14ac:dyDescent="0.25"/>
    <row r="150" s="52" customFormat="1" x14ac:dyDescent="0.25"/>
    <row r="151" s="52" customFormat="1" x14ac:dyDescent="0.25"/>
    <row r="152" s="52" customFormat="1" x14ac:dyDescent="0.25"/>
    <row r="153" s="52" customFormat="1" x14ac:dyDescent="0.25"/>
    <row r="154" s="52" customFormat="1" x14ac:dyDescent="0.25"/>
    <row r="155" s="52" customFormat="1" x14ac:dyDescent="0.25"/>
    <row r="156" s="52" customFormat="1" x14ac:dyDescent="0.25"/>
    <row r="157" s="52" customFormat="1" x14ac:dyDescent="0.25"/>
    <row r="158" s="52" customFormat="1" x14ac:dyDescent="0.25"/>
    <row r="159" s="52" customFormat="1" x14ac:dyDescent="0.25"/>
    <row r="160" s="52" customFormat="1" x14ac:dyDescent="0.25"/>
    <row r="161" s="52" customFormat="1" x14ac:dyDescent="0.25"/>
    <row r="162" s="52" customFormat="1" x14ac:dyDescent="0.25"/>
    <row r="163" s="52" customFormat="1" x14ac:dyDescent="0.25"/>
    <row r="164" s="52" customFormat="1" x14ac:dyDescent="0.25"/>
    <row r="165" s="52" customFormat="1" x14ac:dyDescent="0.25"/>
    <row r="166" s="52" customFormat="1" x14ac:dyDescent="0.25"/>
    <row r="167" s="52" customFormat="1" x14ac:dyDescent="0.25"/>
    <row r="168" s="52" customFormat="1" x14ac:dyDescent="0.25"/>
    <row r="169" s="52" customFormat="1" x14ac:dyDescent="0.25"/>
    <row r="170" s="52" customFormat="1" x14ac:dyDescent="0.25"/>
    <row r="171" s="52" customFormat="1" x14ac:dyDescent="0.25"/>
    <row r="172" s="52" customFormat="1" x14ac:dyDescent="0.25"/>
    <row r="173" s="52" customFormat="1" x14ac:dyDescent="0.25"/>
    <row r="174" s="52" customFormat="1" x14ac:dyDescent="0.25"/>
    <row r="175" s="52" customFormat="1" x14ac:dyDescent="0.25"/>
    <row r="176" s="52" customFormat="1" x14ac:dyDescent="0.25"/>
    <row r="177" s="52" customFormat="1" x14ac:dyDescent="0.25"/>
    <row r="178" s="52" customFormat="1" x14ac:dyDescent="0.25"/>
    <row r="179" s="52" customFormat="1" x14ac:dyDescent="0.25"/>
    <row r="180" s="52" customFormat="1" x14ac:dyDescent="0.25"/>
    <row r="181" s="52" customFormat="1" x14ac:dyDescent="0.25"/>
    <row r="182" s="52" customFormat="1" x14ac:dyDescent="0.25"/>
    <row r="183" s="52" customFormat="1" x14ac:dyDescent="0.25"/>
    <row r="184" s="52" customFormat="1" x14ac:dyDescent="0.25"/>
    <row r="185" s="52" customFormat="1" x14ac:dyDescent="0.25"/>
    <row r="186" s="52" customFormat="1" x14ac:dyDescent="0.25"/>
    <row r="187" s="52" customFormat="1" x14ac:dyDescent="0.25"/>
    <row r="188" s="52" customFormat="1" x14ac:dyDescent="0.25"/>
    <row r="189" s="52" customFormat="1" x14ac:dyDescent="0.25"/>
    <row r="190" s="52" customFormat="1" x14ac:dyDescent="0.25"/>
    <row r="191" s="52" customFormat="1" x14ac:dyDescent="0.25"/>
    <row r="192" s="52" customFormat="1" x14ac:dyDescent="0.25"/>
    <row r="193" s="52" customFormat="1" x14ac:dyDescent="0.25"/>
    <row r="194" s="52" customFormat="1" x14ac:dyDescent="0.25"/>
    <row r="195" s="52" customFormat="1" x14ac:dyDescent="0.25"/>
    <row r="196" s="52" customFormat="1" x14ac:dyDescent="0.25"/>
    <row r="197" s="52" customFormat="1" x14ac:dyDescent="0.25"/>
    <row r="198" s="52" customFormat="1" x14ac:dyDescent="0.25"/>
    <row r="199" s="52" customFormat="1" x14ac:dyDescent="0.25"/>
    <row r="200" s="52" customFormat="1" x14ac:dyDescent="0.25"/>
    <row r="201" s="52" customFormat="1" x14ac:dyDescent="0.25"/>
    <row r="202" s="52" customFormat="1" x14ac:dyDescent="0.25"/>
    <row r="203" s="52" customFormat="1" x14ac:dyDescent="0.25"/>
    <row r="204" s="52" customFormat="1" x14ac:dyDescent="0.25"/>
    <row r="205" s="52" customFormat="1" x14ac:dyDescent="0.25"/>
    <row r="206" s="52" customFormat="1" x14ac:dyDescent="0.25"/>
    <row r="207" s="52" customFormat="1" x14ac:dyDescent="0.25"/>
    <row r="208" s="52" customFormat="1" x14ac:dyDescent="0.25"/>
    <row r="209" s="52" customFormat="1" x14ac:dyDescent="0.25"/>
    <row r="210" s="52" customFormat="1" x14ac:dyDescent="0.25"/>
    <row r="211" s="52" customFormat="1" x14ac:dyDescent="0.25"/>
    <row r="212" s="52" customFormat="1" x14ac:dyDescent="0.25"/>
    <row r="213" s="52" customFormat="1" x14ac:dyDescent="0.25"/>
    <row r="214" s="52" customFormat="1" x14ac:dyDescent="0.25"/>
    <row r="215" s="52" customFormat="1" x14ac:dyDescent="0.25"/>
    <row r="216" s="52" customFormat="1" x14ac:dyDescent="0.25"/>
    <row r="217" s="52" customFormat="1" x14ac:dyDescent="0.25"/>
    <row r="218" s="52" customFormat="1" x14ac:dyDescent="0.25"/>
    <row r="219" s="52" customFormat="1" x14ac:dyDescent="0.25"/>
    <row r="220" s="52" customFormat="1" x14ac:dyDescent="0.25"/>
    <row r="221" s="52" customFormat="1" x14ac:dyDescent="0.25"/>
    <row r="222" s="52" customFormat="1" x14ac:dyDescent="0.25"/>
    <row r="223" s="52" customFormat="1" x14ac:dyDescent="0.25"/>
    <row r="224" s="52" customFormat="1" x14ac:dyDescent="0.25"/>
    <row r="225" s="52" customFormat="1" x14ac:dyDescent="0.25"/>
    <row r="226" s="52" customFormat="1" x14ac:dyDescent="0.25"/>
    <row r="227" s="52" customFormat="1" x14ac:dyDescent="0.25"/>
    <row r="228" s="52" customFormat="1" x14ac:dyDescent="0.25"/>
    <row r="229" s="52" customFormat="1" x14ac:dyDescent="0.25"/>
    <row r="230" s="52" customFormat="1" x14ac:dyDescent="0.25"/>
    <row r="231" s="52" customFormat="1" x14ac:dyDescent="0.25"/>
    <row r="232" s="52" customFormat="1" x14ac:dyDescent="0.25"/>
    <row r="233" s="52" customFormat="1" x14ac:dyDescent="0.25"/>
    <row r="234" s="52" customFormat="1" x14ac:dyDescent="0.25"/>
    <row r="235" s="52" customFormat="1" x14ac:dyDescent="0.25"/>
    <row r="236" s="52" customFormat="1" x14ac:dyDescent="0.25"/>
    <row r="237" s="52" customFormat="1" x14ac:dyDescent="0.25"/>
    <row r="238" s="52" customFormat="1" x14ac:dyDescent="0.25"/>
    <row r="239" s="52" customFormat="1" x14ac:dyDescent="0.25"/>
    <row r="240" s="52" customFormat="1" x14ac:dyDescent="0.25"/>
    <row r="241" s="52" customFormat="1" x14ac:dyDescent="0.25"/>
    <row r="242" s="52" customFormat="1" x14ac:dyDescent="0.25"/>
    <row r="243" s="52" customFormat="1" x14ac:dyDescent="0.25"/>
    <row r="244" s="52" customFormat="1" x14ac:dyDescent="0.25"/>
    <row r="245" s="52" customFormat="1" x14ac:dyDescent="0.25"/>
    <row r="246" s="52" customFormat="1" x14ac:dyDescent="0.25"/>
    <row r="247" s="52" customFormat="1" x14ac:dyDescent="0.25"/>
    <row r="248" s="52" customFormat="1" x14ac:dyDescent="0.25"/>
    <row r="249" s="52" customFormat="1" x14ac:dyDescent="0.25"/>
    <row r="250" s="52" customFormat="1" x14ac:dyDescent="0.25"/>
    <row r="251" s="52" customFormat="1" x14ac:dyDescent="0.25"/>
    <row r="252" s="52" customFormat="1" x14ac:dyDescent="0.25"/>
    <row r="253" s="52" customFormat="1" x14ac:dyDescent="0.25"/>
    <row r="254" s="52" customFormat="1" x14ac:dyDescent="0.25"/>
    <row r="255" s="52" customFormat="1" x14ac:dyDescent="0.25"/>
    <row r="256" s="52" customFormat="1" x14ac:dyDescent="0.25"/>
    <row r="257" s="52" customFormat="1" x14ac:dyDescent="0.25"/>
    <row r="258" s="52" customFormat="1" x14ac:dyDescent="0.25"/>
    <row r="259" s="52" customFormat="1" x14ac:dyDescent="0.25"/>
    <row r="260" s="52" customFormat="1" x14ac:dyDescent="0.25"/>
    <row r="261" s="52" customFormat="1" x14ac:dyDescent="0.25"/>
    <row r="262" s="52" customFormat="1" x14ac:dyDescent="0.25"/>
    <row r="263" s="52" customFormat="1" x14ac:dyDescent="0.25"/>
    <row r="264" s="52" customFormat="1" x14ac:dyDescent="0.25"/>
    <row r="265" s="52" customFormat="1" x14ac:dyDescent="0.25"/>
    <row r="266" s="52" customFormat="1" x14ac:dyDescent="0.25"/>
    <row r="267" s="52" customFormat="1" x14ac:dyDescent="0.25"/>
    <row r="268" s="52" customFormat="1" x14ac:dyDescent="0.25"/>
    <row r="269" s="52" customFormat="1" x14ac:dyDescent="0.25"/>
    <row r="270" s="52" customFormat="1" x14ac:dyDescent="0.25"/>
    <row r="271" s="52" customFormat="1" x14ac:dyDescent="0.25"/>
    <row r="272" s="52" customFormat="1" x14ac:dyDescent="0.25"/>
    <row r="273" s="52" customFormat="1" x14ac:dyDescent="0.25"/>
    <row r="274" s="52" customFormat="1" x14ac:dyDescent="0.25"/>
    <row r="275" s="52" customFormat="1" x14ac:dyDescent="0.25"/>
    <row r="276" s="52" customFormat="1" x14ac:dyDescent="0.25"/>
    <row r="277" s="52" customFormat="1" x14ac:dyDescent="0.25"/>
    <row r="278" s="52" customFormat="1" x14ac:dyDescent="0.25"/>
    <row r="279" s="52" customFormat="1" x14ac:dyDescent="0.25"/>
    <row r="280" s="52" customFormat="1" x14ac:dyDescent="0.25"/>
    <row r="281" s="52" customFormat="1" x14ac:dyDescent="0.25"/>
    <row r="282" s="52" customFormat="1" x14ac:dyDescent="0.25"/>
    <row r="283" s="52" customFormat="1" x14ac:dyDescent="0.25"/>
    <row r="284" s="52" customFormat="1" x14ac:dyDescent="0.25"/>
    <row r="285" s="52" customFormat="1" x14ac:dyDescent="0.25"/>
    <row r="286" s="52" customFormat="1" x14ac:dyDescent="0.25"/>
    <row r="287" s="52" customFormat="1" x14ac:dyDescent="0.25"/>
    <row r="288" s="52" customFormat="1" x14ac:dyDescent="0.25"/>
    <row r="289" s="52" customFormat="1" x14ac:dyDescent="0.25"/>
    <row r="290" s="52" customFormat="1" x14ac:dyDescent="0.25"/>
    <row r="291" s="52" customFormat="1" x14ac:dyDescent="0.25"/>
    <row r="292" s="52" customFormat="1" x14ac:dyDescent="0.25"/>
    <row r="293" s="52" customFormat="1" x14ac:dyDescent="0.25"/>
    <row r="294" s="52" customFormat="1" x14ac:dyDescent="0.25"/>
    <row r="295" s="52" customFormat="1" x14ac:dyDescent="0.25"/>
    <row r="296" s="52" customFormat="1" x14ac:dyDescent="0.25"/>
    <row r="297" s="52" customFormat="1" x14ac:dyDescent="0.25"/>
    <row r="298" s="52" customFormat="1" x14ac:dyDescent="0.25"/>
    <row r="299" s="52" customFormat="1" x14ac:dyDescent="0.25"/>
    <row r="300" s="52" customFormat="1" x14ac:dyDescent="0.25"/>
    <row r="301" s="52" customFormat="1" x14ac:dyDescent="0.25"/>
    <row r="302" s="52" customFormat="1" x14ac:dyDescent="0.25"/>
    <row r="303" s="52" customFormat="1" x14ac:dyDescent="0.25"/>
    <row r="304" s="52" customFormat="1" x14ac:dyDescent="0.25"/>
    <row r="305" s="52" customFormat="1" x14ac:dyDescent="0.25"/>
    <row r="306" s="52" customFormat="1" x14ac:dyDescent="0.25"/>
    <row r="307" s="52" customFormat="1" x14ac:dyDescent="0.25"/>
    <row r="308" s="52" customFormat="1" x14ac:dyDescent="0.25"/>
    <row r="309" s="52" customFormat="1" x14ac:dyDescent="0.25"/>
    <row r="310" s="52" customFormat="1" x14ac:dyDescent="0.25"/>
    <row r="311" s="52" customFormat="1" x14ac:dyDescent="0.25"/>
    <row r="312" s="52" customFormat="1" x14ac:dyDescent="0.25"/>
    <row r="313" s="52" customFormat="1" x14ac:dyDescent="0.25"/>
    <row r="314" s="52" customFormat="1" x14ac:dyDescent="0.25"/>
    <row r="315" s="52" customFormat="1" x14ac:dyDescent="0.25"/>
    <row r="316" s="52" customFormat="1" x14ac:dyDescent="0.25"/>
    <row r="317" s="52" customFormat="1" x14ac:dyDescent="0.25"/>
    <row r="318" s="52" customFormat="1" x14ac:dyDescent="0.25"/>
    <row r="319" s="52" customFormat="1" x14ac:dyDescent="0.25"/>
    <row r="320" s="52" customFormat="1" x14ac:dyDescent="0.25"/>
    <row r="321" s="52" customFormat="1" x14ac:dyDescent="0.25"/>
    <row r="322" s="52" customFormat="1" x14ac:dyDescent="0.25"/>
    <row r="323" s="52" customFormat="1" x14ac:dyDescent="0.25"/>
    <row r="324" s="52" customFormat="1" x14ac:dyDescent="0.25"/>
    <row r="325" s="52" customFormat="1" x14ac:dyDescent="0.25"/>
    <row r="326" s="52" customFormat="1" x14ac:dyDescent="0.25"/>
    <row r="327" s="52" customFormat="1" x14ac:dyDescent="0.25"/>
    <row r="328" s="52" customFormat="1" x14ac:dyDescent="0.25"/>
    <row r="329" s="52" customFormat="1" x14ac:dyDescent="0.25"/>
    <row r="330" s="52" customFormat="1" x14ac:dyDescent="0.25"/>
    <row r="331" s="52" customFormat="1" x14ac:dyDescent="0.25"/>
    <row r="332" s="52" customFormat="1" x14ac:dyDescent="0.25"/>
    <row r="333" s="52" customFormat="1" x14ac:dyDescent="0.25"/>
    <row r="334" s="52" customFormat="1" x14ac:dyDescent="0.25"/>
    <row r="335" s="52" customFormat="1" x14ac:dyDescent="0.25"/>
    <row r="336" s="52" customFormat="1" x14ac:dyDescent="0.25"/>
    <row r="337" s="52" customFormat="1" x14ac:dyDescent="0.25"/>
    <row r="338" s="52" customFormat="1" x14ac:dyDescent="0.25"/>
    <row r="339" s="52" customFormat="1" x14ac:dyDescent="0.25"/>
    <row r="340" s="52" customFormat="1" x14ac:dyDescent="0.25"/>
    <row r="341" s="52" customFormat="1" x14ac:dyDescent="0.25"/>
    <row r="342" s="52" customFormat="1" x14ac:dyDescent="0.25"/>
    <row r="343" s="52" customFormat="1" x14ac:dyDescent="0.25"/>
    <row r="344" s="52" customFormat="1" x14ac:dyDescent="0.25"/>
    <row r="345" s="52" customFormat="1" x14ac:dyDescent="0.25"/>
    <row r="346" s="52" customFormat="1" x14ac:dyDescent="0.25"/>
    <row r="347" s="52" customFormat="1" x14ac:dyDescent="0.25"/>
    <row r="348" s="52" customFormat="1" x14ac:dyDescent="0.25"/>
    <row r="349" s="52" customFormat="1" x14ac:dyDescent="0.25"/>
    <row r="350" s="52" customFormat="1" x14ac:dyDescent="0.25"/>
    <row r="351" s="52" customFormat="1" x14ac:dyDescent="0.25"/>
    <row r="352" s="52" customFormat="1" x14ac:dyDescent="0.25"/>
    <row r="353" s="52" customFormat="1" x14ac:dyDescent="0.25"/>
    <row r="354" s="52" customFormat="1" x14ac:dyDescent="0.25"/>
    <row r="355" s="52" customFormat="1" x14ac:dyDescent="0.25"/>
    <row r="356" s="52" customFormat="1" x14ac:dyDescent="0.25"/>
    <row r="357" s="52" customFormat="1" x14ac:dyDescent="0.25"/>
    <row r="358" s="52" customFormat="1" x14ac:dyDescent="0.25"/>
    <row r="359" s="52" customFormat="1" x14ac:dyDescent="0.25"/>
    <row r="360" s="52" customFormat="1" x14ac:dyDescent="0.25"/>
    <row r="361" s="52" customFormat="1" x14ac:dyDescent="0.25"/>
    <row r="362" s="52" customFormat="1" x14ac:dyDescent="0.25"/>
    <row r="363" s="52" customFormat="1" x14ac:dyDescent="0.25"/>
    <row r="364" s="52" customFormat="1" x14ac:dyDescent="0.25"/>
    <row r="365" s="52" customFormat="1" x14ac:dyDescent="0.25"/>
    <row r="366" s="52" customFormat="1" x14ac:dyDescent="0.25"/>
    <row r="367" s="52" customFormat="1" x14ac:dyDescent="0.25"/>
    <row r="368" s="52" customFormat="1" x14ac:dyDescent="0.25"/>
    <row r="369" s="52" customFormat="1" x14ac:dyDescent="0.25"/>
    <row r="370" s="52" customFormat="1" x14ac:dyDescent="0.25"/>
    <row r="371" s="52" customFormat="1" x14ac:dyDescent="0.25"/>
    <row r="372" s="52" customFormat="1" x14ac:dyDescent="0.25"/>
    <row r="373" s="52" customFormat="1" x14ac:dyDescent="0.25"/>
    <row r="374" s="52" customFormat="1" x14ac:dyDescent="0.25"/>
    <row r="375" s="52" customFormat="1" x14ac:dyDescent="0.25"/>
    <row r="376" s="52" customFormat="1" x14ac:dyDescent="0.25"/>
    <row r="377" s="52" customFormat="1" x14ac:dyDescent="0.25"/>
    <row r="378" s="52" customFormat="1" x14ac:dyDescent="0.25"/>
    <row r="379" s="52" customFormat="1" x14ac:dyDescent="0.25"/>
    <row r="380" s="52" customFormat="1" x14ac:dyDescent="0.25"/>
    <row r="381" s="52" customFormat="1" x14ac:dyDescent="0.25"/>
    <row r="382" s="52" customFormat="1" x14ac:dyDescent="0.25"/>
    <row r="383" s="52" customFormat="1" x14ac:dyDescent="0.25"/>
    <row r="384" s="52" customFormat="1" x14ac:dyDescent="0.25"/>
    <row r="385" s="52" customFormat="1" x14ac:dyDescent="0.25"/>
    <row r="386" s="52" customFormat="1" x14ac:dyDescent="0.25"/>
    <row r="387" s="52" customFormat="1" x14ac:dyDescent="0.25"/>
    <row r="388" s="52" customFormat="1" x14ac:dyDescent="0.25"/>
    <row r="389" s="52" customFormat="1" x14ac:dyDescent="0.25"/>
    <row r="390" s="52" customFormat="1" x14ac:dyDescent="0.25"/>
    <row r="391" s="52" customFormat="1" x14ac:dyDescent="0.25"/>
    <row r="392" s="52" customFormat="1" x14ac:dyDescent="0.25"/>
    <row r="393" s="52" customFormat="1" x14ac:dyDescent="0.25"/>
    <row r="394" s="52" customFormat="1" x14ac:dyDescent="0.25"/>
    <row r="395" s="52" customFormat="1" x14ac:dyDescent="0.25"/>
    <row r="396" s="52" customFormat="1" x14ac:dyDescent="0.25"/>
    <row r="397" s="52" customFormat="1" x14ac:dyDescent="0.25"/>
    <row r="398" s="52" customFormat="1" x14ac:dyDescent="0.25"/>
    <row r="399" s="52" customFormat="1" x14ac:dyDescent="0.25"/>
    <row r="400" s="52" customFormat="1" x14ac:dyDescent="0.25"/>
    <row r="401" s="52" customFormat="1" x14ac:dyDescent="0.25"/>
    <row r="402" s="52" customFormat="1" x14ac:dyDescent="0.25"/>
    <row r="403" s="52" customFormat="1" x14ac:dyDescent="0.25"/>
    <row r="404" s="52" customFormat="1" x14ac:dyDescent="0.25"/>
    <row r="405" s="52" customFormat="1" x14ac:dyDescent="0.25"/>
    <row r="406" s="52" customFormat="1" x14ac:dyDescent="0.25"/>
    <row r="407" s="52" customFormat="1" x14ac:dyDescent="0.25"/>
    <row r="408" s="52" customFormat="1" x14ac:dyDescent="0.25"/>
    <row r="409" s="52" customFormat="1" x14ac:dyDescent="0.25"/>
    <row r="410" s="52" customFormat="1" x14ac:dyDescent="0.25"/>
    <row r="411" s="52" customFormat="1" x14ac:dyDescent="0.25"/>
    <row r="412" s="52" customFormat="1" x14ac:dyDescent="0.25"/>
    <row r="413" s="52" customFormat="1" x14ac:dyDescent="0.25"/>
    <row r="414" s="52" customFormat="1" x14ac:dyDescent="0.25"/>
    <row r="415" s="52" customFormat="1" x14ac:dyDescent="0.25"/>
    <row r="416" s="52" customFormat="1" x14ac:dyDescent="0.25"/>
    <row r="417" s="52" customFormat="1" x14ac:dyDescent="0.25"/>
    <row r="418" s="52" customFormat="1" x14ac:dyDescent="0.25"/>
    <row r="419" s="52" customFormat="1" x14ac:dyDescent="0.25"/>
    <row r="420" s="52" customFormat="1" x14ac:dyDescent="0.25"/>
    <row r="421" s="52" customFormat="1" x14ac:dyDescent="0.25"/>
    <row r="422" s="52" customFormat="1" x14ac:dyDescent="0.25"/>
    <row r="423" s="52" customFormat="1" x14ac:dyDescent="0.25"/>
    <row r="424" s="52" customFormat="1" x14ac:dyDescent="0.25"/>
    <row r="425" s="52" customFormat="1" x14ac:dyDescent="0.25"/>
    <row r="426" s="52" customFormat="1" x14ac:dyDescent="0.25"/>
    <row r="427" s="52" customFormat="1" x14ac:dyDescent="0.25"/>
    <row r="428" s="52" customFormat="1" x14ac:dyDescent="0.25"/>
    <row r="429" s="52" customFormat="1" x14ac:dyDescent="0.25"/>
    <row r="430" s="52" customFormat="1" x14ac:dyDescent="0.25"/>
    <row r="431" s="52" customFormat="1" x14ac:dyDescent="0.25"/>
    <row r="432" s="52" customFormat="1" x14ac:dyDescent="0.25"/>
    <row r="433" s="52" customFormat="1" x14ac:dyDescent="0.25"/>
    <row r="434" s="52" customFormat="1" x14ac:dyDescent="0.25"/>
    <row r="435" s="52" customFormat="1" x14ac:dyDescent="0.25"/>
    <row r="436" s="52" customFormat="1" x14ac:dyDescent="0.25"/>
    <row r="437" s="52" customFormat="1" x14ac:dyDescent="0.25"/>
    <row r="438" s="52" customFormat="1" x14ac:dyDescent="0.25"/>
    <row r="439" s="52" customFormat="1" x14ac:dyDescent="0.25"/>
    <row r="440" s="52" customFormat="1" x14ac:dyDescent="0.25"/>
    <row r="441" s="52" customFormat="1" x14ac:dyDescent="0.25"/>
    <row r="442" s="52" customFormat="1" x14ac:dyDescent="0.25"/>
    <row r="443" s="52" customFormat="1" x14ac:dyDescent="0.25"/>
    <row r="444" s="52" customFormat="1" x14ac:dyDescent="0.25"/>
    <row r="445" s="52" customFormat="1" x14ac:dyDescent="0.25"/>
    <row r="446" s="52" customFormat="1" x14ac:dyDescent="0.25"/>
    <row r="447" s="52" customFormat="1" x14ac:dyDescent="0.25"/>
    <row r="448" s="52" customFormat="1" x14ac:dyDescent="0.25"/>
    <row r="449" s="52" customFormat="1" x14ac:dyDescent="0.25"/>
    <row r="450" s="52" customFormat="1" x14ac:dyDescent="0.25"/>
    <row r="451" s="52" customFormat="1" x14ac:dyDescent="0.25"/>
    <row r="452" s="52" customFormat="1" x14ac:dyDescent="0.25"/>
    <row r="453" s="52" customFormat="1" x14ac:dyDescent="0.25"/>
    <row r="454" s="52" customFormat="1" x14ac:dyDescent="0.25"/>
    <row r="455" s="52" customFormat="1" x14ac:dyDescent="0.25"/>
    <row r="456" s="52" customFormat="1" x14ac:dyDescent="0.25"/>
    <row r="457" s="52" customFormat="1" x14ac:dyDescent="0.25"/>
    <row r="458" s="52" customFormat="1" x14ac:dyDescent="0.25"/>
    <row r="459" s="52" customFormat="1" x14ac:dyDescent="0.25"/>
    <row r="460" s="52" customFormat="1" x14ac:dyDescent="0.25"/>
    <row r="461" s="52" customFormat="1" x14ac:dyDescent="0.25"/>
    <row r="462" s="52" customFormat="1" x14ac:dyDescent="0.25"/>
    <row r="463" s="52" customFormat="1" x14ac:dyDescent="0.25"/>
    <row r="464" s="52" customFormat="1" x14ac:dyDescent="0.25"/>
    <row r="465" s="52" customFormat="1" x14ac:dyDescent="0.25"/>
    <row r="466" s="52" customFormat="1" x14ac:dyDescent="0.25"/>
    <row r="467" s="52" customFormat="1" x14ac:dyDescent="0.25"/>
    <row r="468" s="52" customFormat="1" x14ac:dyDescent="0.25"/>
    <row r="469" s="52" customFormat="1" x14ac:dyDescent="0.25"/>
    <row r="470" s="52" customFormat="1" x14ac:dyDescent="0.25"/>
    <row r="471" s="52" customFormat="1" x14ac:dyDescent="0.25"/>
    <row r="472" s="52" customFormat="1" x14ac:dyDescent="0.25"/>
    <row r="473" s="52" customFormat="1" x14ac:dyDescent="0.25"/>
    <row r="474" s="52" customFormat="1" x14ac:dyDescent="0.25"/>
    <row r="475" s="52" customFormat="1" x14ac:dyDescent="0.25"/>
    <row r="476" s="52" customFormat="1" x14ac:dyDescent="0.25"/>
    <row r="477" s="52" customFormat="1" x14ac:dyDescent="0.25"/>
    <row r="478" s="52" customFormat="1" x14ac:dyDescent="0.25"/>
    <row r="479" s="52" customFormat="1" x14ac:dyDescent="0.25"/>
    <row r="480" s="52" customFormat="1" x14ac:dyDescent="0.25"/>
    <row r="481" s="52" customFormat="1" x14ac:dyDescent="0.25"/>
    <row r="482" s="52" customFormat="1" x14ac:dyDescent="0.25"/>
    <row r="483" s="52" customFormat="1" x14ac:dyDescent="0.25"/>
    <row r="484" s="52" customFormat="1" x14ac:dyDescent="0.25"/>
    <row r="485" s="52" customFormat="1" x14ac:dyDescent="0.25"/>
    <row r="486" s="52" customFormat="1" x14ac:dyDescent="0.25"/>
    <row r="487" s="52" customFormat="1" x14ac:dyDescent="0.25"/>
    <row r="488" s="52" customFormat="1" x14ac:dyDescent="0.25"/>
    <row r="489" s="52" customFormat="1" x14ac:dyDescent="0.25"/>
    <row r="490" s="52" customFormat="1" x14ac:dyDescent="0.25"/>
    <row r="491" s="52" customFormat="1" x14ac:dyDescent="0.25"/>
    <row r="492" s="52" customFormat="1" x14ac:dyDescent="0.25"/>
    <row r="493" s="52" customFormat="1" x14ac:dyDescent="0.25"/>
    <row r="494" s="52" customFormat="1" x14ac:dyDescent="0.25"/>
    <row r="495" s="52" customFormat="1" x14ac:dyDescent="0.25"/>
    <row r="496" s="52" customFormat="1" x14ac:dyDescent="0.25"/>
    <row r="497" s="52" customFormat="1" x14ac:dyDescent="0.25"/>
    <row r="498" s="52" customFormat="1" x14ac:dyDescent="0.25"/>
    <row r="499" s="52" customFormat="1" x14ac:dyDescent="0.25"/>
    <row r="500" s="52" customFormat="1" x14ac:dyDescent="0.25"/>
    <row r="501" s="52" customFormat="1" x14ac:dyDescent="0.25"/>
    <row r="502" s="52" customFormat="1" x14ac:dyDescent="0.25"/>
    <row r="503" s="52" customFormat="1" x14ac:dyDescent="0.25"/>
    <row r="504" s="52" customFormat="1" x14ac:dyDescent="0.25"/>
    <row r="505" s="52" customFormat="1" x14ac:dyDescent="0.25"/>
    <row r="506" s="52" customFormat="1" x14ac:dyDescent="0.25"/>
    <row r="507" s="52" customFormat="1" x14ac:dyDescent="0.25"/>
    <row r="508" s="52" customFormat="1" x14ac:dyDescent="0.25"/>
    <row r="509" s="52" customFormat="1" x14ac:dyDescent="0.25"/>
    <row r="510" s="52" customFormat="1" x14ac:dyDescent="0.25"/>
    <row r="511" s="52" customFormat="1" x14ac:dyDescent="0.25"/>
    <row r="512" s="52" customFormat="1" x14ac:dyDescent="0.25"/>
    <row r="513" s="52" customFormat="1" x14ac:dyDescent="0.25"/>
    <row r="514" s="52" customFormat="1" x14ac:dyDescent="0.25"/>
    <row r="515" s="52" customFormat="1" x14ac:dyDescent="0.25"/>
    <row r="516" s="52" customFormat="1" x14ac:dyDescent="0.25"/>
    <row r="517" s="52" customFormat="1" x14ac:dyDescent="0.25"/>
    <row r="518" s="52" customFormat="1" x14ac:dyDescent="0.25"/>
    <row r="519" s="52" customFormat="1" x14ac:dyDescent="0.25"/>
    <row r="520" s="52" customFormat="1" x14ac:dyDescent="0.25"/>
    <row r="521" s="52" customFormat="1" x14ac:dyDescent="0.25"/>
    <row r="522" s="52" customFormat="1" x14ac:dyDescent="0.25"/>
    <row r="523" s="52" customFormat="1" x14ac:dyDescent="0.25"/>
    <row r="524" s="52" customFormat="1" x14ac:dyDescent="0.25"/>
    <row r="525" s="52" customFormat="1" x14ac:dyDescent="0.25"/>
    <row r="526" s="52" customFormat="1" x14ac:dyDescent="0.25"/>
    <row r="527" s="52" customFormat="1" x14ac:dyDescent="0.25"/>
    <row r="528" s="52" customFormat="1" x14ac:dyDescent="0.25"/>
    <row r="529" s="52" customFormat="1" x14ac:dyDescent="0.25"/>
    <row r="530" s="52" customFormat="1" x14ac:dyDescent="0.25"/>
    <row r="531" s="52" customFormat="1" x14ac:dyDescent="0.25"/>
    <row r="532" s="52" customFormat="1" x14ac:dyDescent="0.25"/>
    <row r="533" s="52" customFormat="1" x14ac:dyDescent="0.25"/>
    <row r="534" s="52" customFormat="1" x14ac:dyDescent="0.25"/>
    <row r="535" s="52" customFormat="1" x14ac:dyDescent="0.25"/>
    <row r="536" s="52" customFormat="1" x14ac:dyDescent="0.25"/>
  </sheetData>
  <pageMargins left="0.7" right="0.7" top="0.75" bottom="0.75" header="0.3" footer="0.3"/>
  <headerFooter>
    <oddFooter>&amp;C_x000D_&amp;1#&amp;"Aptos"&amp;6&amp;K000000 ECP-INFORMACION PUBLICA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72FB9-F2FE-4A76-8A72-3D4D165A326F}">
  <dimension ref="A1:AK537"/>
  <sheetViews>
    <sheetView zoomScale="110" zoomScaleNormal="110" workbookViewId="0">
      <pane xSplit="7" ySplit="2" topLeftCell="N23" activePane="bottomRight" state="frozen"/>
      <selection pane="topRight" activeCell="N22" sqref="N22"/>
      <selection pane="bottomLeft" activeCell="N22" sqref="N22"/>
      <selection pane="bottomRight" activeCell="F32" sqref="F32"/>
    </sheetView>
  </sheetViews>
  <sheetFormatPr baseColWidth="10" defaultColWidth="11.42578125" defaultRowHeight="15" outlineLevelRow="1" x14ac:dyDescent="0.25"/>
  <cols>
    <col min="1" max="1" width="3.42578125" style="52" customWidth="1"/>
    <col min="2" max="2" width="32.7109375" customWidth="1"/>
    <col min="3" max="3" width="10.7109375" hidden="1" customWidth="1"/>
    <col min="4" max="7" width="13.85546875" customWidth="1"/>
    <col min="8" max="11" width="13.85546875" hidden="1" customWidth="1"/>
    <col min="12" max="12" width="18.5703125" style="52" hidden="1" customWidth="1"/>
    <col min="13" max="13" width="13.85546875" hidden="1" customWidth="1"/>
    <col min="14" max="14" width="70.42578125" customWidth="1"/>
    <col min="15" max="15" width="17.85546875" style="52" bestFit="1" customWidth="1"/>
    <col min="16" max="16" width="15.5703125" style="52" bestFit="1" customWidth="1"/>
    <col min="17" max="37" width="11.42578125" style="52"/>
  </cols>
  <sheetData>
    <row r="1" spans="1:37" x14ac:dyDescent="0.25">
      <c r="G1" s="154"/>
    </row>
    <row r="2" spans="1:37" s="51" customFormat="1" x14ac:dyDescent="0.25">
      <c r="A2" s="31"/>
      <c r="B2" s="46" t="s">
        <v>0</v>
      </c>
      <c r="C2" s="47" t="s">
        <v>1</v>
      </c>
      <c r="D2" s="47" t="s">
        <v>106</v>
      </c>
      <c r="E2" s="47" t="s">
        <v>107</v>
      </c>
      <c r="F2" s="47" t="s">
        <v>4</v>
      </c>
      <c r="G2" s="47" t="s">
        <v>5</v>
      </c>
      <c r="H2" s="48" t="s">
        <v>6</v>
      </c>
      <c r="I2" s="48" t="s">
        <v>5</v>
      </c>
      <c r="J2" s="49" t="s">
        <v>7</v>
      </c>
      <c r="K2" s="49" t="s">
        <v>5</v>
      </c>
      <c r="L2" s="50" t="s">
        <v>8</v>
      </c>
      <c r="M2" s="50" t="s">
        <v>5</v>
      </c>
      <c r="N2" s="47" t="s">
        <v>9</v>
      </c>
      <c r="O2" s="31"/>
      <c r="P2" s="31"/>
      <c r="Q2" s="31"/>
      <c r="R2" s="31"/>
      <c r="S2" s="31"/>
      <c r="T2" s="31"/>
      <c r="U2" s="31"/>
      <c r="V2" s="31"/>
      <c r="W2" s="31"/>
      <c r="X2" s="31"/>
      <c r="Y2" s="31"/>
      <c r="Z2" s="31"/>
      <c r="AA2" s="31"/>
      <c r="AB2" s="31"/>
      <c r="AC2" s="31"/>
      <c r="AD2" s="31"/>
      <c r="AE2" s="31"/>
      <c r="AF2" s="31"/>
      <c r="AG2" s="31"/>
      <c r="AH2" s="31"/>
      <c r="AI2" s="31"/>
      <c r="AJ2" s="31"/>
      <c r="AK2" s="31"/>
    </row>
    <row r="3" spans="1:37" hidden="1" x14ac:dyDescent="0.25">
      <c r="B3" s="53" t="s">
        <v>10</v>
      </c>
      <c r="C3" s="93">
        <f>SUM(C4:C7)</f>
        <v>0</v>
      </c>
      <c r="D3" s="93">
        <f t="shared" ref="D3:F3" si="0">SUM(D4:D7)</f>
        <v>2574054.4331707316</v>
      </c>
      <c r="E3" s="93">
        <f t="shared" si="0"/>
        <v>7941994.4806341464</v>
      </c>
      <c r="F3" s="93">
        <f t="shared" si="0"/>
        <v>10516048.913804878</v>
      </c>
      <c r="G3" s="55">
        <f t="shared" ref="G3:G26" si="1">+F3/$F$26</f>
        <v>0.875966104825603</v>
      </c>
      <c r="H3" s="93">
        <f>SUM(H4:H7)</f>
        <v>21268425</v>
      </c>
      <c r="I3" s="55">
        <f t="shared" ref="I3:I23" si="2">+H3/$H$26</f>
        <v>0.89144352033517738</v>
      </c>
      <c r="J3" s="93">
        <f>SUM(J4:J7)</f>
        <v>8232672.7699349588</v>
      </c>
      <c r="K3" s="55">
        <f t="shared" ref="K3:K23" si="3">+J3/$J$26</f>
        <v>0.85974571788076959</v>
      </c>
      <c r="L3" s="93">
        <f>SUM(L4:L7)</f>
        <v>22059967</v>
      </c>
      <c r="M3" s="55">
        <f t="shared" ref="M3:M23" si="4">+L3/$L$26</f>
        <v>0.92372669256315576</v>
      </c>
      <c r="N3" s="94"/>
    </row>
    <row r="4" spans="1:37" outlineLevel="1" x14ac:dyDescent="0.25">
      <c r="B4" s="57" t="s">
        <v>11</v>
      </c>
      <c r="C4" s="95" t="s">
        <v>12</v>
      </c>
      <c r="D4" s="95">
        <v>2416267.814390244</v>
      </c>
      <c r="E4" s="153">
        <f>10048561-D4</f>
        <v>7632293.185609756</v>
      </c>
      <c r="F4" s="95">
        <f>D4+E4</f>
        <v>10048561</v>
      </c>
      <c r="G4" s="59">
        <f t="shared" si="1"/>
        <v>0.83702528491641326</v>
      </c>
      <c r="H4" s="95">
        <v>20282545</v>
      </c>
      <c r="I4" s="59">
        <f t="shared" si="2"/>
        <v>0.85012140373143052</v>
      </c>
      <c r="J4" s="95">
        <v>7869677.3506395658</v>
      </c>
      <c r="K4" s="59">
        <f t="shared" si="3"/>
        <v>0.82183776671219488</v>
      </c>
      <c r="L4" s="95">
        <v>21250042</v>
      </c>
      <c r="M4" s="59">
        <f t="shared" si="4"/>
        <v>0.88981234711222124</v>
      </c>
      <c r="N4" s="96"/>
    </row>
    <row r="5" spans="1:37" outlineLevel="1" x14ac:dyDescent="0.25">
      <c r="B5" s="57" t="s">
        <v>13</v>
      </c>
      <c r="C5" s="95" t="s">
        <v>12</v>
      </c>
      <c r="D5" s="95"/>
      <c r="E5" s="95"/>
      <c r="F5" s="95">
        <f t="shared" ref="F5:F7" si="5">D5+E5</f>
        <v>0</v>
      </c>
      <c r="G5" s="59">
        <f t="shared" si="1"/>
        <v>0</v>
      </c>
      <c r="H5" s="95">
        <v>50489</v>
      </c>
      <c r="I5" s="59">
        <f t="shared" si="2"/>
        <v>2.1161929902286029E-3</v>
      </c>
      <c r="J5" s="95">
        <v>43742.724444444444</v>
      </c>
      <c r="K5" s="59">
        <f t="shared" si="3"/>
        <v>4.5680936289475152E-3</v>
      </c>
      <c r="L5" s="95">
        <v>209140</v>
      </c>
      <c r="M5" s="59">
        <f t="shared" si="4"/>
        <v>8.7574111277074155E-3</v>
      </c>
      <c r="N5" s="97"/>
    </row>
    <row r="6" spans="1:37" outlineLevel="1" x14ac:dyDescent="0.25">
      <c r="B6" s="57" t="s">
        <v>15</v>
      </c>
      <c r="C6" s="95" t="s">
        <v>12</v>
      </c>
      <c r="D6" s="95">
        <v>157786.6187804878</v>
      </c>
      <c r="E6" s="95">
        <v>126229.29502439023</v>
      </c>
      <c r="F6" s="95">
        <f t="shared" si="5"/>
        <v>284015.91380487802</v>
      </c>
      <c r="G6" s="59">
        <f t="shared" si="1"/>
        <v>2.3657964675073723E-2</v>
      </c>
      <c r="H6" s="95">
        <v>378390</v>
      </c>
      <c r="I6" s="59">
        <f t="shared" si="2"/>
        <v>1.585981630796017E-2</v>
      </c>
      <c r="J6" s="95">
        <v>160106.22168021681</v>
      </c>
      <c r="K6" s="59">
        <f t="shared" si="3"/>
        <v>1.6720042487091726E-2</v>
      </c>
      <c r="L6" s="95">
        <v>317396</v>
      </c>
      <c r="M6" s="59">
        <f t="shared" si="4"/>
        <v>1.3290462189393818E-2</v>
      </c>
      <c r="N6" s="98"/>
    </row>
    <row r="7" spans="1:37" outlineLevel="1" x14ac:dyDescent="0.25">
      <c r="B7" s="57" t="s">
        <v>16</v>
      </c>
      <c r="C7" s="95" t="s">
        <v>12</v>
      </c>
      <c r="D7" s="95">
        <v>0</v>
      </c>
      <c r="E7" s="95">
        <v>183472</v>
      </c>
      <c r="F7" s="95">
        <f t="shared" si="5"/>
        <v>183472</v>
      </c>
      <c r="G7" s="59">
        <f t="shared" si="1"/>
        <v>1.5282855234116027E-2</v>
      </c>
      <c r="H7" s="95">
        <v>557001</v>
      </c>
      <c r="I7" s="59">
        <f t="shared" si="2"/>
        <v>2.3346107305558084E-2</v>
      </c>
      <c r="J7" s="95">
        <v>159146.47317073171</v>
      </c>
      <c r="K7" s="59">
        <f t="shared" si="3"/>
        <v>1.6619815052535403E-2</v>
      </c>
      <c r="L7" s="95">
        <v>283389</v>
      </c>
      <c r="M7" s="59">
        <f t="shared" si="4"/>
        <v>1.1866472133833208E-2</v>
      </c>
      <c r="N7" s="98"/>
    </row>
    <row r="8" spans="1:37" x14ac:dyDescent="0.25">
      <c r="B8" s="53" t="s">
        <v>18</v>
      </c>
      <c r="C8" s="93">
        <f>SUM(C9:C14)</f>
        <v>0</v>
      </c>
      <c r="D8" s="93">
        <f t="shared" ref="D8:F8" si="6">SUM(D9:D14)</f>
        <v>315863.43445121951</v>
      </c>
      <c r="E8" s="93">
        <f t="shared" si="6"/>
        <v>212746.26067073172</v>
      </c>
      <c r="F8" s="93">
        <f t="shared" si="6"/>
        <v>528609.69512195117</v>
      </c>
      <c r="G8" s="55">
        <f t="shared" si="1"/>
        <v>4.4032143574490867E-2</v>
      </c>
      <c r="H8" s="93">
        <f>SUM(H9:H14)</f>
        <v>1217567</v>
      </c>
      <c r="I8" s="55">
        <f t="shared" si="2"/>
        <v>5.1033031958122942E-2</v>
      </c>
      <c r="J8" s="93">
        <f>SUM(J9:J14)</f>
        <v>396381.26421680232</v>
      </c>
      <c r="K8" s="55">
        <f t="shared" si="3"/>
        <v>4.1394466181516168E-2</v>
      </c>
      <c r="L8" s="93">
        <f>SUM(L9:L14)</f>
        <v>617266</v>
      </c>
      <c r="M8" s="55">
        <f t="shared" si="4"/>
        <v>2.584705047889187E-2</v>
      </c>
      <c r="N8" s="99"/>
    </row>
    <row r="9" spans="1:37" hidden="1" outlineLevel="1" x14ac:dyDescent="0.25">
      <c r="B9" s="57" t="s">
        <v>19</v>
      </c>
      <c r="C9" s="95"/>
      <c r="D9" s="95"/>
      <c r="E9" s="95"/>
      <c r="F9" s="95"/>
      <c r="G9" s="59">
        <f t="shared" si="1"/>
        <v>0</v>
      </c>
      <c r="H9" s="95">
        <v>255996</v>
      </c>
      <c r="I9" s="59">
        <f t="shared" si="2"/>
        <v>1.0729801357257252E-2</v>
      </c>
      <c r="J9" s="95">
        <v>0</v>
      </c>
      <c r="K9" s="59">
        <f t="shared" si="3"/>
        <v>0</v>
      </c>
      <c r="L9" s="95"/>
      <c r="M9" s="59">
        <f t="shared" si="4"/>
        <v>0</v>
      </c>
      <c r="N9" s="98"/>
    </row>
    <row r="10" spans="1:37" outlineLevel="1" x14ac:dyDescent="0.25">
      <c r="B10" s="57" t="s">
        <v>20</v>
      </c>
      <c r="C10" s="95" t="s">
        <v>12</v>
      </c>
      <c r="D10" s="95">
        <f>51290.4344512195+164087</f>
        <v>215377.43445121951</v>
      </c>
      <c r="E10" s="95">
        <f>30774.2606707317+20511</f>
        <v>51285.260670731703</v>
      </c>
      <c r="F10" s="95">
        <f t="shared" ref="F10:F13" si="7">D10+E10</f>
        <v>266662.69512195123</v>
      </c>
      <c r="G10" s="59">
        <f t="shared" si="1"/>
        <v>2.2212475832214171E-2</v>
      </c>
      <c r="H10" s="95">
        <f>194101+93995</f>
        <v>288096</v>
      </c>
      <c r="I10" s="59">
        <f t="shared" si="2"/>
        <v>1.207523887803085E-2</v>
      </c>
      <c r="J10" s="95">
        <v>220426.21968563701</v>
      </c>
      <c r="K10" s="59">
        <f t="shared" si="3"/>
        <v>2.3019316299737906E-2</v>
      </c>
      <c r="L10" s="95">
        <f>140624+75997+129388</f>
        <v>346009</v>
      </c>
      <c r="M10" s="59">
        <f t="shared" si="4"/>
        <v>1.4488586912531871E-2</v>
      </c>
      <c r="N10" s="97" t="s">
        <v>108</v>
      </c>
      <c r="O10" s="60" t="s">
        <v>109</v>
      </c>
      <c r="P10" s="61"/>
    </row>
    <row r="11" spans="1:37" outlineLevel="1" x14ac:dyDescent="0.25">
      <c r="B11" s="57" t="s">
        <v>22</v>
      </c>
      <c r="C11" s="95" t="s">
        <v>12</v>
      </c>
      <c r="D11" s="95">
        <v>0</v>
      </c>
      <c r="E11" s="95">
        <v>48780</v>
      </c>
      <c r="F11" s="95">
        <f t="shared" si="7"/>
        <v>48780</v>
      </c>
      <c r="G11" s="59">
        <f t="shared" si="1"/>
        <v>4.0632776571911779E-3</v>
      </c>
      <c r="H11" s="95">
        <v>88889</v>
      </c>
      <c r="I11" s="59">
        <f t="shared" si="2"/>
        <v>3.7256883421820648E-3</v>
      </c>
      <c r="J11" s="95">
        <v>0</v>
      </c>
      <c r="K11" s="59">
        <f t="shared" si="3"/>
        <v>0</v>
      </c>
      <c r="L11" s="95"/>
      <c r="M11" s="59">
        <f t="shared" si="4"/>
        <v>0</v>
      </c>
      <c r="N11" s="98"/>
    </row>
    <row r="12" spans="1:37" outlineLevel="1" x14ac:dyDescent="0.25">
      <c r="B12" s="57" t="s">
        <v>23</v>
      </c>
      <c r="C12" s="95" t="s">
        <v>12</v>
      </c>
      <c r="D12" s="95">
        <v>0</v>
      </c>
      <c r="E12" s="95">
        <v>12195</v>
      </c>
      <c r="F12" s="95">
        <f t="shared" si="7"/>
        <v>12195</v>
      </c>
      <c r="G12" s="59">
        <f t="shared" si="1"/>
        <v>1.0158194142977945E-3</v>
      </c>
      <c r="H12" s="95"/>
      <c r="I12" s="59">
        <f t="shared" si="2"/>
        <v>0</v>
      </c>
      <c r="J12" s="95">
        <v>0</v>
      </c>
      <c r="K12" s="59">
        <f t="shared" si="3"/>
        <v>0</v>
      </c>
      <c r="L12" s="95"/>
      <c r="M12" s="59">
        <f t="shared" si="4"/>
        <v>0</v>
      </c>
      <c r="N12" s="98"/>
    </row>
    <row r="13" spans="1:37" outlineLevel="1" x14ac:dyDescent="0.25">
      <c r="B13" s="57" t="s">
        <v>110</v>
      </c>
      <c r="C13" s="95" t="s">
        <v>12</v>
      </c>
      <c r="D13" s="95">
        <v>100486</v>
      </c>
      <c r="E13" s="95">
        <v>100486</v>
      </c>
      <c r="F13" s="95">
        <f t="shared" si="7"/>
        <v>200972</v>
      </c>
      <c r="G13" s="59">
        <f t="shared" si="1"/>
        <v>1.6740570670787727E-2</v>
      </c>
      <c r="H13" s="95">
        <v>584586</v>
      </c>
      <c r="I13" s="59">
        <f t="shared" si="2"/>
        <v>2.4502303380652776E-2</v>
      </c>
      <c r="J13" s="95">
        <v>175955.04453116533</v>
      </c>
      <c r="K13" s="59">
        <f t="shared" si="3"/>
        <v>1.8375149881778265E-2</v>
      </c>
      <c r="L13" s="95">
        <v>168528</v>
      </c>
      <c r="M13" s="59">
        <f t="shared" si="4"/>
        <v>7.0568470045437289E-3</v>
      </c>
      <c r="N13" s="97" t="s">
        <v>111</v>
      </c>
      <c r="O13" s="62"/>
      <c r="P13" s="62">
        <f>+J13/J4</f>
        <v>2.2358609723290058E-2</v>
      </c>
      <c r="R13" s="62">
        <f>+L13/L4</f>
        <v>7.9307137369422614E-3</v>
      </c>
    </row>
    <row r="14" spans="1:37" hidden="1" outlineLevel="1" x14ac:dyDescent="0.25">
      <c r="B14" s="57" t="s">
        <v>26</v>
      </c>
      <c r="C14" s="95" t="s">
        <v>12</v>
      </c>
      <c r="D14" s="95" t="s">
        <v>17</v>
      </c>
      <c r="E14" s="95" t="s">
        <v>17</v>
      </c>
      <c r="F14" s="95">
        <v>0</v>
      </c>
      <c r="G14" s="59">
        <f t="shared" si="1"/>
        <v>0</v>
      </c>
      <c r="H14" s="95"/>
      <c r="I14" s="59">
        <f t="shared" si="2"/>
        <v>0</v>
      </c>
      <c r="J14" s="95">
        <v>0</v>
      </c>
      <c r="K14" s="59">
        <f t="shared" si="3"/>
        <v>0</v>
      </c>
      <c r="L14" s="95">
        <v>102729</v>
      </c>
      <c r="M14" s="59">
        <f t="shared" si="4"/>
        <v>4.3016165618162717E-3</v>
      </c>
      <c r="N14" s="98"/>
    </row>
    <row r="15" spans="1:37" x14ac:dyDescent="0.25">
      <c r="B15" s="53" t="s">
        <v>27</v>
      </c>
      <c r="C15" s="93">
        <f>SUM(C16:C25)</f>
        <v>0</v>
      </c>
      <c r="D15" s="93">
        <f>SUM(D16:D25)</f>
        <v>437573.27427642274</v>
      </c>
      <c r="E15" s="93">
        <f>SUM(E16:E25)</f>
        <v>522854.67879166664</v>
      </c>
      <c r="F15" s="93">
        <f>SUM(F16:F25)</f>
        <v>960427.95306808944</v>
      </c>
      <c r="G15" s="55">
        <f t="shared" si="1"/>
        <v>8.0001751599906204E-2</v>
      </c>
      <c r="H15" s="93">
        <f>SUM(H16:H25)</f>
        <v>1372418</v>
      </c>
      <c r="I15" s="55">
        <f t="shared" si="2"/>
        <v>5.7523447706699649E-2</v>
      </c>
      <c r="J15" s="93">
        <f>SUM(J16:J25)</f>
        <v>946652.59481300809</v>
      </c>
      <c r="K15" s="55">
        <f t="shared" si="3"/>
        <v>9.885981593771434E-2</v>
      </c>
      <c r="L15" s="93">
        <f>SUM(L16:L25)</f>
        <v>1204254</v>
      </c>
      <c r="M15" s="55">
        <f t="shared" si="4"/>
        <v>5.0426256957952408E-2</v>
      </c>
      <c r="N15" s="99"/>
      <c r="O15" s="100"/>
    </row>
    <row r="16" spans="1:37" outlineLevel="1" x14ac:dyDescent="0.25">
      <c r="B16" s="101" t="s">
        <v>28</v>
      </c>
      <c r="C16" s="95" t="s">
        <v>12</v>
      </c>
      <c r="D16" s="95">
        <v>104960.95792682926</v>
      </c>
      <c r="E16" s="95">
        <v>144321.31714939023</v>
      </c>
      <c r="F16" s="95">
        <f t="shared" ref="F16:F25" si="8">D16+E16</f>
        <v>249282.27507621949</v>
      </c>
      <c r="G16" s="59">
        <f t="shared" si="1"/>
        <v>2.0764721169556948E-2</v>
      </c>
      <c r="H16" s="95">
        <v>298612</v>
      </c>
      <c r="I16" s="59">
        <f t="shared" si="2"/>
        <v>1.2516005886393938E-2</v>
      </c>
      <c r="J16" s="95">
        <v>220691.17004336044</v>
      </c>
      <c r="K16" s="59">
        <f t="shared" si="3"/>
        <v>2.3046985313419047E-2</v>
      </c>
      <c r="L16" s="95">
        <v>219641</v>
      </c>
      <c r="M16" s="59">
        <f t="shared" si="4"/>
        <v>9.1971241154288254E-3</v>
      </c>
      <c r="N16" s="97" t="s">
        <v>112</v>
      </c>
      <c r="O16" s="102"/>
      <c r="P16" s="52">
        <f>+O16*15/16</f>
        <v>0</v>
      </c>
    </row>
    <row r="17" spans="2:15" outlineLevel="1" x14ac:dyDescent="0.25">
      <c r="B17" s="101" t="s">
        <v>30</v>
      </c>
      <c r="C17" s="95" t="s">
        <v>12</v>
      </c>
      <c r="D17" s="95">
        <v>63107.792975609758</v>
      </c>
      <c r="E17" s="95">
        <v>63107.792975609758</v>
      </c>
      <c r="F17" s="95">
        <f t="shared" si="8"/>
        <v>126215.58595121952</v>
      </c>
      <c r="G17" s="59">
        <f t="shared" si="1"/>
        <v>1.0513509027980381E-2</v>
      </c>
      <c r="H17" s="95">
        <v>304120</v>
      </c>
      <c r="I17" s="59">
        <f t="shared" si="2"/>
        <v>1.2746867875939764E-2</v>
      </c>
      <c r="J17" s="95">
        <v>219395.4613387534</v>
      </c>
      <c r="K17" s="59">
        <f t="shared" si="3"/>
        <v>2.2911673241442266E-2</v>
      </c>
      <c r="L17" s="95">
        <f>280137-26000</f>
        <v>254137</v>
      </c>
      <c r="M17" s="59">
        <f t="shared" si="4"/>
        <v>1.0641590282883138E-2</v>
      </c>
      <c r="N17" s="97" t="s">
        <v>113</v>
      </c>
    </row>
    <row r="18" spans="2:15" outlineLevel="1" x14ac:dyDescent="0.25">
      <c r="B18" s="101" t="s">
        <v>32</v>
      </c>
      <c r="C18" s="95" t="s">
        <v>12</v>
      </c>
      <c r="D18" s="95">
        <v>37336.940487804903</v>
      </c>
      <c r="E18" s="95">
        <v>37336.940487804881</v>
      </c>
      <c r="F18" s="95">
        <f t="shared" si="8"/>
        <v>74673.880975609791</v>
      </c>
      <c r="G18" s="59">
        <f t="shared" si="1"/>
        <v>6.2201868008189545E-3</v>
      </c>
      <c r="H18" s="95">
        <v>75007</v>
      </c>
      <c r="I18" s="59">
        <f t="shared" si="2"/>
        <v>3.1438390068743056E-3</v>
      </c>
      <c r="J18" s="95">
        <v>67782.657078590782</v>
      </c>
      <c r="K18" s="59">
        <f t="shared" si="3"/>
        <v>7.0786062799334925E-3</v>
      </c>
      <c r="L18" s="95">
        <f>92643-12000</f>
        <v>80643</v>
      </c>
      <c r="M18" s="59">
        <f t="shared" si="4"/>
        <v>3.3767997780037736E-3</v>
      </c>
      <c r="N18" s="97" t="s">
        <v>114</v>
      </c>
    </row>
    <row r="19" spans="2:15" hidden="1" outlineLevel="1" x14ac:dyDescent="0.25">
      <c r="B19" s="101" t="s">
        <v>34</v>
      </c>
      <c r="C19" s="95" t="s">
        <v>12</v>
      </c>
      <c r="F19" s="95">
        <f t="shared" si="8"/>
        <v>0</v>
      </c>
      <c r="G19" s="59">
        <f t="shared" si="1"/>
        <v>0</v>
      </c>
      <c r="H19" s="95">
        <v>23175</v>
      </c>
      <c r="I19" s="59">
        <f t="shared" si="2"/>
        <v>9.7135559326878861E-4</v>
      </c>
      <c r="J19" s="95">
        <v>0</v>
      </c>
      <c r="K19" s="59">
        <f t="shared" si="3"/>
        <v>0</v>
      </c>
      <c r="L19" s="95">
        <v>0</v>
      </c>
      <c r="M19" s="59">
        <f t="shared" si="4"/>
        <v>0</v>
      </c>
      <c r="N19" s="97"/>
      <c r="O19" s="60"/>
    </row>
    <row r="20" spans="2:15" outlineLevel="1" x14ac:dyDescent="0.25">
      <c r="B20" s="57" t="s">
        <v>35</v>
      </c>
      <c r="C20" s="95" t="s">
        <v>12</v>
      </c>
      <c r="D20" s="95">
        <v>37336.940487804903</v>
      </c>
      <c r="E20" s="95">
        <v>37336.940487804903</v>
      </c>
      <c r="F20" s="95">
        <f t="shared" si="8"/>
        <v>74673.880975609805</v>
      </c>
      <c r="G20" s="59">
        <f t="shared" si="1"/>
        <v>6.2201868008189562E-3</v>
      </c>
      <c r="H20" s="95">
        <v>70760</v>
      </c>
      <c r="I20" s="59">
        <f t="shared" si="2"/>
        <v>2.9658304975059111E-3</v>
      </c>
      <c r="J20" s="95">
        <v>52150.901441734415</v>
      </c>
      <c r="K20" s="59">
        <f t="shared" si="3"/>
        <v>5.4461674174506808E-3</v>
      </c>
      <c r="L20" s="95">
        <f>97802-13000</f>
        <v>84802</v>
      </c>
      <c r="M20" s="59">
        <f t="shared" si="4"/>
        <v>3.5509514126988826E-3</v>
      </c>
      <c r="N20" s="97" t="s">
        <v>114</v>
      </c>
    </row>
    <row r="21" spans="2:15" outlineLevel="1" x14ac:dyDescent="0.25">
      <c r="B21" s="57" t="s">
        <v>37</v>
      </c>
      <c r="C21" s="95" t="s">
        <v>12</v>
      </c>
      <c r="D21" s="95">
        <v>74751.944715447156</v>
      </c>
      <c r="E21" s="95">
        <v>74751.944715447156</v>
      </c>
      <c r="F21" s="95">
        <f t="shared" si="8"/>
        <v>149503.88943089431</v>
      </c>
      <c r="G21" s="59">
        <f t="shared" si="1"/>
        <v>1.2453378712335652E-2</v>
      </c>
      <c r="H21" s="95">
        <v>118049</v>
      </c>
      <c r="I21" s="59">
        <f t="shared" si="2"/>
        <v>4.9478988750717252E-3</v>
      </c>
      <c r="J21" s="95">
        <v>108729.03730081301</v>
      </c>
      <c r="K21" s="59">
        <f t="shared" si="3"/>
        <v>1.1354675066164567E-2</v>
      </c>
      <c r="L21" s="95">
        <v>162113</v>
      </c>
      <c r="M21" s="59">
        <f t="shared" si="4"/>
        <v>6.7882288904371826E-3</v>
      </c>
      <c r="N21" s="97" t="s">
        <v>115</v>
      </c>
    </row>
    <row r="22" spans="2:15" outlineLevel="1" x14ac:dyDescent="0.25">
      <c r="B22" s="57" t="s">
        <v>39</v>
      </c>
      <c r="C22" s="95" t="s">
        <v>12</v>
      </c>
      <c r="D22" s="95">
        <v>46809.223414634136</v>
      </c>
      <c r="E22" s="95">
        <v>64362.682195121946</v>
      </c>
      <c r="F22" s="95">
        <f t="shared" si="8"/>
        <v>111171.90560975608</v>
      </c>
      <c r="G22" s="59">
        <f t="shared" si="1"/>
        <v>9.2604001675171878E-3</v>
      </c>
      <c r="H22" s="95">
        <v>308990</v>
      </c>
      <c r="I22" s="59">
        <f t="shared" si="2"/>
        <v>1.2950988770835944E-2</v>
      </c>
      <c r="J22" s="95">
        <v>157456.84724119242</v>
      </c>
      <c r="K22" s="59">
        <f t="shared" si="3"/>
        <v>1.6443365836304354E-2</v>
      </c>
      <c r="L22" s="95">
        <v>325000</v>
      </c>
      <c r="M22" s="59">
        <f t="shared" si="4"/>
        <v>1.3608867823012863E-2</v>
      </c>
      <c r="N22" s="97" t="s">
        <v>116</v>
      </c>
    </row>
    <row r="23" spans="2:15" outlineLevel="1" x14ac:dyDescent="0.25">
      <c r="B23" s="101" t="s">
        <v>41</v>
      </c>
      <c r="C23" s="95"/>
      <c r="D23" s="95">
        <v>8922.474365853659</v>
      </c>
      <c r="E23" s="95">
        <v>22306.185914634149</v>
      </c>
      <c r="F23" s="95">
        <f t="shared" si="8"/>
        <v>31228.660280487806</v>
      </c>
      <c r="G23" s="59">
        <f t="shared" si="1"/>
        <v>2.601285723282486E-3</v>
      </c>
      <c r="H23" s="95">
        <v>89798</v>
      </c>
      <c r="I23" s="59">
        <f t="shared" si="2"/>
        <v>3.7637881149665884E-3</v>
      </c>
      <c r="J23" s="95">
        <v>60975.609756097561</v>
      </c>
      <c r="K23" s="59">
        <f t="shared" si="3"/>
        <v>6.3677399610027156E-3</v>
      </c>
      <c r="L23" s="95">
        <v>0</v>
      </c>
      <c r="M23" s="59">
        <f t="shared" si="4"/>
        <v>0</v>
      </c>
      <c r="N23" s="97" t="s">
        <v>117</v>
      </c>
    </row>
    <row r="24" spans="2:15" outlineLevel="1" x14ac:dyDescent="0.25">
      <c r="B24" s="101" t="s">
        <v>118</v>
      </c>
      <c r="C24" s="95"/>
      <c r="D24" s="95">
        <v>39956.99990243902</v>
      </c>
      <c r="E24" s="95">
        <v>54940.87486585365</v>
      </c>
      <c r="F24" s="95">
        <f t="shared" si="8"/>
        <v>94897.874768292677</v>
      </c>
      <c r="G24" s="59">
        <f t="shared" si="1"/>
        <v>7.9048055404044703E-3</v>
      </c>
      <c r="H24" s="95"/>
      <c r="I24" s="59"/>
      <c r="J24" s="95"/>
      <c r="K24" s="59"/>
      <c r="L24" s="95"/>
      <c r="M24" s="59"/>
      <c r="N24" s="97" t="s">
        <v>114</v>
      </c>
    </row>
    <row r="25" spans="2:15" outlineLevel="1" x14ac:dyDescent="0.25">
      <c r="B25" s="57" t="s">
        <v>43</v>
      </c>
      <c r="C25" s="95" t="s">
        <v>12</v>
      </c>
      <c r="D25" s="95">
        <v>24390</v>
      </c>
      <c r="E25" s="95">
        <v>24390</v>
      </c>
      <c r="F25" s="95">
        <f t="shared" si="8"/>
        <v>48780</v>
      </c>
      <c r="G25" s="59">
        <f t="shared" si="1"/>
        <v>4.0632776571911779E-3</v>
      </c>
      <c r="H25" s="95">
        <v>83907</v>
      </c>
      <c r="I25" s="59">
        <f>+H25/$H$26</f>
        <v>3.516873085842686E-3</v>
      </c>
      <c r="J25" s="95">
        <v>59470.910612466134</v>
      </c>
      <c r="K25" s="59">
        <f>+J25/$J$26</f>
        <v>6.2106028219972255E-3</v>
      </c>
      <c r="L25" s="95">
        <v>77918</v>
      </c>
      <c r="M25" s="59">
        <f>+L25/$L$26</f>
        <v>3.2626946554877427E-3</v>
      </c>
      <c r="N25" s="97"/>
      <c r="O25" s="60"/>
    </row>
    <row r="26" spans="2:15" x14ac:dyDescent="0.25">
      <c r="B26" s="64" t="s">
        <v>45</v>
      </c>
      <c r="C26" s="106">
        <f>+C3+C8+C15</f>
        <v>0</v>
      </c>
      <c r="D26" s="106">
        <f t="shared" ref="D26:F26" si="9">+D3+D8+D15</f>
        <v>3327491.1418983741</v>
      </c>
      <c r="E26" s="106">
        <f t="shared" si="9"/>
        <v>8677595.4200965445</v>
      </c>
      <c r="F26" s="106">
        <f t="shared" si="9"/>
        <v>12005086.561994918</v>
      </c>
      <c r="G26" s="66">
        <f t="shared" si="1"/>
        <v>1</v>
      </c>
      <c r="H26" s="107">
        <f>+H3+H8+H15</f>
        <v>23858410</v>
      </c>
      <c r="I26" s="108">
        <f>+H26/$H$26</f>
        <v>1</v>
      </c>
      <c r="J26" s="109">
        <f>+J3+J8+J15</f>
        <v>9575706.6289647687</v>
      </c>
      <c r="K26" s="110">
        <f>+J26/$J$26</f>
        <v>1</v>
      </c>
      <c r="L26" s="111">
        <f>+L3+L8+L15</f>
        <v>23881487</v>
      </c>
      <c r="M26" s="112">
        <f>+L26/$L$26</f>
        <v>1</v>
      </c>
      <c r="N26" s="106"/>
    </row>
    <row r="27" spans="2:15" outlineLevel="1" x14ac:dyDescent="0.25">
      <c r="B27" s="149" t="s">
        <v>46</v>
      </c>
      <c r="C27" s="150">
        <v>0</v>
      </c>
      <c r="D27" s="150"/>
      <c r="E27" s="150"/>
      <c r="F27" s="150">
        <f>+F26*G27</f>
        <v>1800762.9842992376</v>
      </c>
      <c r="G27" s="151">
        <v>0.15</v>
      </c>
      <c r="H27" s="113">
        <v>0</v>
      </c>
      <c r="I27" s="71">
        <f>+H27/H26</f>
        <v>0</v>
      </c>
      <c r="J27" s="113">
        <v>0</v>
      </c>
      <c r="K27" s="71">
        <f>+J27/J26</f>
        <v>0</v>
      </c>
      <c r="L27" s="113">
        <v>493025</v>
      </c>
      <c r="M27" s="71">
        <f>+L27/L26</f>
        <v>2.0644652487510514E-2</v>
      </c>
      <c r="N27" s="114"/>
    </row>
    <row r="28" spans="2:15" x14ac:dyDescent="0.25">
      <c r="B28" s="73" t="s">
        <v>47</v>
      </c>
      <c r="C28" s="115">
        <f t="shared" ref="C28:F28" si="10">+C26+C27</f>
        <v>0</v>
      </c>
      <c r="D28" s="115">
        <f t="shared" si="10"/>
        <v>3327491.1418983741</v>
      </c>
      <c r="E28" s="115">
        <f t="shared" si="10"/>
        <v>8677595.4200965445</v>
      </c>
      <c r="F28" s="115">
        <f t="shared" si="10"/>
        <v>13805849.546294155</v>
      </c>
      <c r="G28" s="75">
        <f>+F28/$F$26</f>
        <v>1.1499999999999999</v>
      </c>
      <c r="H28" s="116">
        <f>+H26+H27</f>
        <v>23858410</v>
      </c>
      <c r="I28" s="117">
        <f>+I26+I27</f>
        <v>1</v>
      </c>
      <c r="J28" s="118">
        <f t="shared" ref="J28:K28" si="11">+J26+J27</f>
        <v>9575706.6289647687</v>
      </c>
      <c r="K28" s="119">
        <f t="shared" si="11"/>
        <v>1</v>
      </c>
      <c r="L28" s="120">
        <f>+L26+L27</f>
        <v>24374512</v>
      </c>
      <c r="M28" s="121">
        <f>+M26+M27</f>
        <v>1.0206446524875106</v>
      </c>
      <c r="N28" s="115"/>
    </row>
    <row r="29" spans="2:15" s="52" customFormat="1" x14ac:dyDescent="0.25">
      <c r="F29" s="78"/>
      <c r="G29" s="78"/>
      <c r="H29" s="78"/>
      <c r="I29" s="78"/>
      <c r="J29" s="78"/>
      <c r="K29" s="78"/>
      <c r="M29" s="78"/>
      <c r="N29" s="78"/>
    </row>
    <row r="30" spans="2:15" s="82" customFormat="1" x14ac:dyDescent="0.25">
      <c r="B30" s="73" t="s">
        <v>48</v>
      </c>
      <c r="C30" s="115"/>
      <c r="D30" s="115"/>
      <c r="E30" s="115"/>
      <c r="F30" s="79">
        <v>116</v>
      </c>
      <c r="G30" s="79"/>
      <c r="H30" s="80">
        <v>312</v>
      </c>
      <c r="I30" s="80"/>
      <c r="J30" s="81">
        <v>101</v>
      </c>
      <c r="K30" s="81"/>
      <c r="L30" s="122">
        <v>193</v>
      </c>
      <c r="M30" s="122"/>
      <c r="N30" s="79"/>
    </row>
    <row r="31" spans="2:15" s="82" customFormat="1" x14ac:dyDescent="0.25">
      <c r="B31" s="53" t="s">
        <v>49</v>
      </c>
      <c r="C31" s="93"/>
      <c r="D31" s="93"/>
      <c r="E31" s="93"/>
      <c r="F31" s="93">
        <f>+F4/F30</f>
        <v>86625.525862068971</v>
      </c>
      <c r="G31" s="55"/>
      <c r="H31" s="93">
        <f>+H4/H30</f>
        <v>65008.157051282054</v>
      </c>
      <c r="I31" s="55"/>
      <c r="J31" s="93">
        <f>+J4/J30</f>
        <v>77917.597531084815</v>
      </c>
      <c r="K31" s="55"/>
      <c r="L31" s="93">
        <f>+L4/L30</f>
        <v>110103.84455958549</v>
      </c>
      <c r="M31" s="55"/>
      <c r="N31" s="55"/>
    </row>
    <row r="32" spans="2:15" s="82" customFormat="1" x14ac:dyDescent="0.25">
      <c r="B32" s="73" t="s">
        <v>50</v>
      </c>
      <c r="C32" s="115"/>
      <c r="D32" s="115"/>
      <c r="E32" s="115"/>
      <c r="F32" s="115">
        <f>+F26/F30</f>
        <v>103492.12553443895</v>
      </c>
      <c r="G32" s="75">
        <f>+(F32-F31)/F31</f>
        <v>0.19470703934572497</v>
      </c>
      <c r="H32" s="116">
        <f>+H26/H30</f>
        <v>76469.262820512828</v>
      </c>
      <c r="I32" s="117">
        <f>+(H32-H31)/H31</f>
        <v>0.17630257938537797</v>
      </c>
      <c r="J32" s="118">
        <f>+J26/J30</f>
        <v>94808.976524403653</v>
      </c>
      <c r="K32" s="119">
        <f>+(J32-J31)/J31</f>
        <v>0.21678516187027086</v>
      </c>
      <c r="L32" s="120">
        <f>+L26/L30</f>
        <v>123738.27461139897</v>
      </c>
      <c r="M32" s="121">
        <f>+(L32-L31)/L31</f>
        <v>0.12383246113113577</v>
      </c>
      <c r="N32" s="75"/>
    </row>
    <row r="33" spans="2:16" s="127" customFormat="1" x14ac:dyDescent="0.25">
      <c r="B33" s="123"/>
      <c r="C33" s="124"/>
      <c r="D33" s="124"/>
      <c r="E33" s="124"/>
      <c r="F33" s="124"/>
      <c r="G33" s="125"/>
      <c r="H33" s="124"/>
      <c r="I33" s="125"/>
      <c r="J33" s="124"/>
      <c r="K33" s="126"/>
      <c r="L33" s="124"/>
      <c r="M33" s="125"/>
      <c r="N33" s="125"/>
    </row>
    <row r="34" spans="2:16" s="52" customFormat="1" x14ac:dyDescent="0.25">
      <c r="B34" s="52" t="s">
        <v>51</v>
      </c>
      <c r="F34" s="78">
        <v>16</v>
      </c>
      <c r="G34" s="78">
        <f>F26+392431</f>
        <v>12397517.561994918</v>
      </c>
      <c r="H34" s="78"/>
      <c r="I34" s="78"/>
      <c r="J34" s="78"/>
      <c r="K34" s="78"/>
      <c r="M34" s="78"/>
      <c r="N34" s="78"/>
    </row>
    <row r="35" spans="2:16" s="52" customFormat="1" x14ac:dyDescent="0.25">
      <c r="B35" s="52" t="s">
        <v>52</v>
      </c>
      <c r="F35" s="78">
        <v>4100</v>
      </c>
      <c r="G35" s="156">
        <f>G34+7</f>
        <v>12397524.561994918</v>
      </c>
      <c r="H35" s="78"/>
      <c r="I35" s="78"/>
      <c r="J35" s="78"/>
      <c r="K35" s="78"/>
      <c r="M35" s="78"/>
      <c r="N35" s="78"/>
    </row>
    <row r="36" spans="2:16" s="52" customFormat="1" x14ac:dyDescent="0.25">
      <c r="B36" s="52" t="s">
        <v>53</v>
      </c>
      <c r="F36" s="86">
        <v>0.08</v>
      </c>
      <c r="G36" s="78"/>
      <c r="H36" s="78"/>
      <c r="I36" s="78"/>
      <c r="J36" s="78"/>
      <c r="K36" s="78"/>
      <c r="M36" s="78"/>
      <c r="N36" s="78"/>
    </row>
    <row r="37" spans="2:16" s="52" customFormat="1" x14ac:dyDescent="0.25">
      <c r="B37" s="87" t="s">
        <v>54</v>
      </c>
    </row>
    <row r="38" spans="2:16" s="52" customFormat="1" x14ac:dyDescent="0.25">
      <c r="B38" s="88" t="s">
        <v>55</v>
      </c>
    </row>
    <row r="39" spans="2:16" s="52" customFormat="1" x14ac:dyDescent="0.25">
      <c r="B39" s="88" t="s">
        <v>56</v>
      </c>
    </row>
    <row r="40" spans="2:16" s="52" customFormat="1" x14ac:dyDescent="0.25">
      <c r="B40" s="88" t="s">
        <v>57</v>
      </c>
      <c r="K40" s="89"/>
    </row>
    <row r="41" spans="2:16" s="52" customFormat="1" x14ac:dyDescent="0.25">
      <c r="B41" s="88" t="s">
        <v>58</v>
      </c>
    </row>
    <row r="42" spans="2:16" s="52" customFormat="1" x14ac:dyDescent="0.25">
      <c r="B42" s="88" t="s">
        <v>59</v>
      </c>
      <c r="O42" s="61">
        <v>17.399999999999999</v>
      </c>
      <c r="P42" s="52" t="s">
        <v>60</v>
      </c>
    </row>
    <row r="43" spans="2:16" s="52" customFormat="1" x14ac:dyDescent="0.25">
      <c r="B43" s="88"/>
      <c r="O43" s="61">
        <v>1.7</v>
      </c>
      <c r="P43" s="52" t="s">
        <v>61</v>
      </c>
    </row>
    <row r="44" spans="2:16" s="52" customFormat="1" x14ac:dyDescent="0.25">
      <c r="B44" s="88"/>
      <c r="O44" s="61">
        <f>+O42+O43</f>
        <v>19.099999999999998</v>
      </c>
    </row>
    <row r="45" spans="2:16" s="52" customFormat="1" x14ac:dyDescent="0.25">
      <c r="B45" s="88"/>
      <c r="N45" s="90">
        <v>0.05</v>
      </c>
      <c r="O45" s="61">
        <f>+O44*N45</f>
        <v>0.95499999999999996</v>
      </c>
      <c r="P45" s="52" t="s">
        <v>62</v>
      </c>
    </row>
    <row r="46" spans="2:16" s="52" customFormat="1" x14ac:dyDescent="0.25">
      <c r="B46" s="88"/>
      <c r="O46" s="61">
        <f>+O44+O45</f>
        <v>20.054999999999996</v>
      </c>
    </row>
    <row r="47" spans="2:16" s="52" customFormat="1" x14ac:dyDescent="0.25">
      <c r="B47" s="88"/>
    </row>
    <row r="48" spans="2:16" s="52" customFormat="1" x14ac:dyDescent="0.25">
      <c r="B48" s="88"/>
    </row>
    <row r="49" spans="2:14" s="52" customFormat="1" x14ac:dyDescent="0.25">
      <c r="B49" s="88"/>
    </row>
    <row r="50" spans="2:14" s="52" customFormat="1" x14ac:dyDescent="0.25">
      <c r="B50" s="88"/>
    </row>
    <row r="51" spans="2:14" s="52" customFormat="1" x14ac:dyDescent="0.25">
      <c r="B51" s="88"/>
    </row>
    <row r="52" spans="2:14" s="52" customFormat="1" x14ac:dyDescent="0.25">
      <c r="B52" s="88"/>
    </row>
    <row r="53" spans="2:14" s="52" customFormat="1" x14ac:dyDescent="0.25"/>
    <row r="54" spans="2:14" s="52" customFormat="1" x14ac:dyDescent="0.25">
      <c r="F54" s="78"/>
      <c r="G54" s="78"/>
      <c r="H54" s="78"/>
      <c r="I54" s="78"/>
    </row>
    <row r="55" spans="2:14" s="52" customFormat="1" x14ac:dyDescent="0.25">
      <c r="F55" s="78"/>
      <c r="G55" s="78"/>
      <c r="H55" s="78"/>
      <c r="I55" s="78"/>
      <c r="J55" s="78"/>
    </row>
    <row r="56" spans="2:14" s="92" customFormat="1" x14ac:dyDescent="0.25">
      <c r="B56" s="52"/>
      <c r="C56" s="52"/>
      <c r="D56" s="52"/>
      <c r="E56" s="52"/>
      <c r="F56" s="78"/>
      <c r="G56" s="78"/>
      <c r="H56" s="78"/>
      <c r="I56" s="78"/>
      <c r="J56" s="78"/>
      <c r="K56" s="78"/>
      <c r="M56" s="78"/>
      <c r="N56" s="78"/>
    </row>
    <row r="57" spans="2:14" s="92" customFormat="1" x14ac:dyDescent="0.25">
      <c r="B57" s="52"/>
      <c r="C57" s="52"/>
      <c r="D57" s="52"/>
      <c r="E57" s="52"/>
      <c r="F57" s="78"/>
      <c r="G57" s="78"/>
      <c r="H57" s="78"/>
      <c r="I57" s="78"/>
      <c r="J57" s="78"/>
      <c r="K57" s="78"/>
      <c r="M57" s="78"/>
      <c r="N57" s="78"/>
    </row>
    <row r="58" spans="2:14" s="92" customFormat="1" x14ac:dyDescent="0.25">
      <c r="B58" s="52"/>
      <c r="C58" s="52"/>
      <c r="D58" s="52"/>
      <c r="E58" s="52"/>
      <c r="F58" s="78"/>
      <c r="G58" s="78"/>
      <c r="H58" s="78"/>
      <c r="I58" s="78"/>
      <c r="J58" s="78"/>
      <c r="K58" s="78"/>
      <c r="M58" s="78"/>
      <c r="N58" s="78"/>
    </row>
    <row r="59" spans="2:14" s="92" customFormat="1" x14ac:dyDescent="0.25">
      <c r="B59" s="52"/>
      <c r="C59" s="52"/>
      <c r="D59" s="52"/>
      <c r="E59" s="52"/>
      <c r="F59" s="78"/>
      <c r="G59" s="78"/>
      <c r="H59" s="78"/>
      <c r="I59" s="78"/>
      <c r="J59" s="78"/>
      <c r="K59" s="78"/>
      <c r="M59" s="78"/>
      <c r="N59" s="78"/>
    </row>
    <row r="60" spans="2:14" s="92" customFormat="1" x14ac:dyDescent="0.25">
      <c r="B60" s="52"/>
      <c r="C60" s="52"/>
      <c r="D60" s="52"/>
      <c r="E60" s="52"/>
      <c r="F60" s="78"/>
      <c r="G60" s="78"/>
      <c r="H60" s="78"/>
      <c r="I60" s="78"/>
      <c r="J60" s="78"/>
      <c r="K60" s="78"/>
      <c r="M60" s="78"/>
      <c r="N60" s="78"/>
    </row>
    <row r="61" spans="2:14" s="92" customFormat="1" x14ac:dyDescent="0.25">
      <c r="B61" s="52"/>
      <c r="C61" s="52"/>
      <c r="D61" s="52"/>
      <c r="E61" s="52"/>
      <c r="F61" s="78"/>
      <c r="G61" s="78"/>
      <c r="H61" s="78"/>
      <c r="I61" s="78"/>
      <c r="J61" s="78"/>
      <c r="K61" s="78"/>
      <c r="M61" s="78"/>
      <c r="N61" s="78"/>
    </row>
    <row r="62" spans="2:14" s="92" customFormat="1" x14ac:dyDescent="0.25">
      <c r="B62" s="52"/>
      <c r="C62" s="52"/>
      <c r="D62" s="52"/>
      <c r="E62" s="52"/>
      <c r="F62" s="78"/>
      <c r="G62" s="78"/>
      <c r="H62" s="78"/>
      <c r="I62" s="78"/>
      <c r="J62" s="78"/>
      <c r="K62" s="78"/>
      <c r="M62" s="78"/>
      <c r="N62" s="78"/>
    </row>
    <row r="63" spans="2:14" s="92" customFormat="1" x14ac:dyDescent="0.25">
      <c r="B63" s="52"/>
      <c r="C63" s="52"/>
      <c r="D63" s="52"/>
      <c r="E63" s="52"/>
      <c r="F63" s="78"/>
      <c r="G63" s="78"/>
      <c r="H63" s="78"/>
      <c r="I63" s="78"/>
      <c r="J63" s="78"/>
      <c r="K63" s="78"/>
      <c r="M63" s="78"/>
      <c r="N63" s="78"/>
    </row>
    <row r="64" spans="2:14" s="92" customFormat="1" x14ac:dyDescent="0.25">
      <c r="B64" s="52"/>
      <c r="C64" s="52"/>
      <c r="D64" s="52"/>
      <c r="E64" s="52"/>
      <c r="F64" s="78"/>
      <c r="G64" s="78"/>
      <c r="H64" s="78"/>
      <c r="I64" s="78"/>
      <c r="J64" s="78"/>
      <c r="K64" s="78"/>
      <c r="M64" s="78"/>
      <c r="N64" s="78"/>
    </row>
    <row r="65" spans="2:14" s="92" customFormat="1" x14ac:dyDescent="0.25">
      <c r="B65" s="52"/>
      <c r="C65" s="52"/>
      <c r="D65" s="52"/>
      <c r="E65" s="52"/>
      <c r="F65" s="78"/>
      <c r="G65" s="78"/>
      <c r="H65" s="78"/>
      <c r="I65" s="78"/>
      <c r="J65" s="78"/>
      <c r="K65" s="78"/>
      <c r="M65" s="78"/>
      <c r="N65" s="78"/>
    </row>
    <row r="66" spans="2:14" s="52" customFormat="1" x14ac:dyDescent="0.25"/>
    <row r="67" spans="2:14" s="52" customFormat="1" x14ac:dyDescent="0.25"/>
    <row r="68" spans="2:14" s="52" customFormat="1" x14ac:dyDescent="0.25"/>
    <row r="69" spans="2:14" s="52" customFormat="1" x14ac:dyDescent="0.25"/>
    <row r="70" spans="2:14" s="52" customFormat="1" x14ac:dyDescent="0.25"/>
    <row r="71" spans="2:14" s="52" customFormat="1" x14ac:dyDescent="0.25"/>
    <row r="72" spans="2:14" s="52" customFormat="1" x14ac:dyDescent="0.25"/>
    <row r="73" spans="2:14" s="52" customFormat="1" x14ac:dyDescent="0.25"/>
    <row r="74" spans="2:14" s="52" customFormat="1" x14ac:dyDescent="0.25"/>
    <row r="75" spans="2:14" s="52" customFormat="1" x14ac:dyDescent="0.25"/>
    <row r="76" spans="2:14" s="52" customFormat="1" x14ac:dyDescent="0.25"/>
    <row r="77" spans="2:14" s="52" customFormat="1" x14ac:dyDescent="0.25"/>
    <row r="78" spans="2:14" s="52" customFormat="1" x14ac:dyDescent="0.25"/>
    <row r="79" spans="2:14" s="52" customFormat="1" x14ac:dyDescent="0.25"/>
    <row r="80" spans="2:14" s="52" customFormat="1" x14ac:dyDescent="0.25"/>
    <row r="81" s="52" customFormat="1" x14ac:dyDescent="0.25"/>
    <row r="82" s="52" customFormat="1" x14ac:dyDescent="0.25"/>
    <row r="83" s="52" customFormat="1" x14ac:dyDescent="0.25"/>
    <row r="84" s="52" customFormat="1" x14ac:dyDescent="0.25"/>
    <row r="85" s="52" customFormat="1" x14ac:dyDescent="0.25"/>
    <row r="86" s="52" customFormat="1" x14ac:dyDescent="0.25"/>
    <row r="87" s="52" customFormat="1" x14ac:dyDescent="0.25"/>
    <row r="88" s="52" customFormat="1" x14ac:dyDescent="0.25"/>
    <row r="89" s="52" customFormat="1" x14ac:dyDescent="0.25"/>
    <row r="90" s="52" customFormat="1" x14ac:dyDescent="0.25"/>
    <row r="91" s="52" customFormat="1" x14ac:dyDescent="0.25"/>
    <row r="92" s="52" customFormat="1" x14ac:dyDescent="0.25"/>
    <row r="93" s="52" customFormat="1" x14ac:dyDescent="0.25"/>
    <row r="94" s="52" customFormat="1" x14ac:dyDescent="0.25"/>
    <row r="95" s="52" customFormat="1" x14ac:dyDescent="0.25"/>
    <row r="96" s="52" customFormat="1" x14ac:dyDescent="0.25"/>
    <row r="97" s="52" customFormat="1" x14ac:dyDescent="0.25"/>
    <row r="98" s="52" customFormat="1" x14ac:dyDescent="0.25"/>
    <row r="99" s="52" customFormat="1" x14ac:dyDescent="0.25"/>
    <row r="100" s="52" customFormat="1" x14ac:dyDescent="0.25"/>
    <row r="101" s="52" customFormat="1" x14ac:dyDescent="0.25"/>
    <row r="102" s="52" customFormat="1" x14ac:dyDescent="0.25"/>
    <row r="103" s="52" customFormat="1" x14ac:dyDescent="0.25"/>
    <row r="104" s="52" customFormat="1" x14ac:dyDescent="0.25"/>
    <row r="105" s="52" customFormat="1" x14ac:dyDescent="0.25"/>
    <row r="106" s="52" customFormat="1" x14ac:dyDescent="0.25"/>
    <row r="107" s="52" customFormat="1" x14ac:dyDescent="0.25"/>
    <row r="108" s="52" customFormat="1" x14ac:dyDescent="0.25"/>
    <row r="109" s="52" customFormat="1" x14ac:dyDescent="0.25"/>
    <row r="110" s="52" customFormat="1" x14ac:dyDescent="0.25"/>
    <row r="111" s="52" customFormat="1" x14ac:dyDescent="0.25"/>
    <row r="112" s="52" customFormat="1" x14ac:dyDescent="0.25"/>
    <row r="113" s="52" customFormat="1" x14ac:dyDescent="0.25"/>
    <row r="114" s="52" customFormat="1" x14ac:dyDescent="0.25"/>
    <row r="115" s="52" customFormat="1" x14ac:dyDescent="0.25"/>
    <row r="116" s="52" customFormat="1" x14ac:dyDescent="0.25"/>
    <row r="117" s="52" customFormat="1" x14ac:dyDescent="0.25"/>
    <row r="118" s="52" customFormat="1" x14ac:dyDescent="0.25"/>
    <row r="119" s="52" customFormat="1" x14ac:dyDescent="0.25"/>
    <row r="120" s="52" customFormat="1" x14ac:dyDescent="0.25"/>
    <row r="121" s="52" customFormat="1" x14ac:dyDescent="0.25"/>
    <row r="122" s="52" customFormat="1" x14ac:dyDescent="0.25"/>
    <row r="123" s="52" customFormat="1" x14ac:dyDescent="0.25"/>
    <row r="124" s="52" customFormat="1" x14ac:dyDescent="0.25"/>
    <row r="125" s="52" customFormat="1" x14ac:dyDescent="0.25"/>
    <row r="126" s="52" customFormat="1" x14ac:dyDescent="0.25"/>
    <row r="127" s="52" customFormat="1" x14ac:dyDescent="0.25"/>
    <row r="128" s="52" customFormat="1" x14ac:dyDescent="0.25"/>
    <row r="129" s="52" customFormat="1" x14ac:dyDescent="0.25"/>
    <row r="130" s="52" customFormat="1" x14ac:dyDescent="0.25"/>
    <row r="131" s="52" customFormat="1" x14ac:dyDescent="0.25"/>
    <row r="132" s="52" customFormat="1" x14ac:dyDescent="0.25"/>
    <row r="133" s="52" customFormat="1" x14ac:dyDescent="0.25"/>
    <row r="134" s="52" customFormat="1" x14ac:dyDescent="0.25"/>
    <row r="135" s="52" customFormat="1" x14ac:dyDescent="0.25"/>
    <row r="136" s="52" customFormat="1" x14ac:dyDescent="0.25"/>
    <row r="137" s="52" customFormat="1" x14ac:dyDescent="0.25"/>
    <row r="138" s="52" customFormat="1" x14ac:dyDescent="0.25"/>
    <row r="139" s="52" customFormat="1" x14ac:dyDescent="0.25"/>
    <row r="140" s="52" customFormat="1" x14ac:dyDescent="0.25"/>
    <row r="141" s="52" customFormat="1" x14ac:dyDescent="0.25"/>
    <row r="142" s="52" customFormat="1" x14ac:dyDescent="0.25"/>
    <row r="143" s="52" customFormat="1" x14ac:dyDescent="0.25"/>
    <row r="144" s="52" customFormat="1" x14ac:dyDescent="0.25"/>
    <row r="145" s="52" customFormat="1" x14ac:dyDescent="0.25"/>
    <row r="146" s="52" customFormat="1" x14ac:dyDescent="0.25"/>
    <row r="147" s="52" customFormat="1" x14ac:dyDescent="0.25"/>
    <row r="148" s="52" customFormat="1" x14ac:dyDescent="0.25"/>
    <row r="149" s="52" customFormat="1" x14ac:dyDescent="0.25"/>
    <row r="150" s="52" customFormat="1" x14ac:dyDescent="0.25"/>
    <row r="151" s="52" customFormat="1" x14ac:dyDescent="0.25"/>
    <row r="152" s="52" customFormat="1" x14ac:dyDescent="0.25"/>
    <row r="153" s="52" customFormat="1" x14ac:dyDescent="0.25"/>
    <row r="154" s="52" customFormat="1" x14ac:dyDescent="0.25"/>
    <row r="155" s="52" customFormat="1" x14ac:dyDescent="0.25"/>
    <row r="156" s="52" customFormat="1" x14ac:dyDescent="0.25"/>
    <row r="157" s="52" customFormat="1" x14ac:dyDescent="0.25"/>
    <row r="158" s="52" customFormat="1" x14ac:dyDescent="0.25"/>
    <row r="159" s="52" customFormat="1" x14ac:dyDescent="0.25"/>
    <row r="160" s="52" customFormat="1" x14ac:dyDescent="0.25"/>
    <row r="161" s="52" customFormat="1" x14ac:dyDescent="0.25"/>
    <row r="162" s="52" customFormat="1" x14ac:dyDescent="0.25"/>
    <row r="163" s="52" customFormat="1" x14ac:dyDescent="0.25"/>
    <row r="164" s="52" customFormat="1" x14ac:dyDescent="0.25"/>
    <row r="165" s="52" customFormat="1" x14ac:dyDescent="0.25"/>
    <row r="166" s="52" customFormat="1" x14ac:dyDescent="0.25"/>
    <row r="167" s="52" customFormat="1" x14ac:dyDescent="0.25"/>
    <row r="168" s="52" customFormat="1" x14ac:dyDescent="0.25"/>
    <row r="169" s="52" customFormat="1" x14ac:dyDescent="0.25"/>
    <row r="170" s="52" customFormat="1" x14ac:dyDescent="0.25"/>
    <row r="171" s="52" customFormat="1" x14ac:dyDescent="0.25"/>
    <row r="172" s="52" customFormat="1" x14ac:dyDescent="0.25"/>
    <row r="173" s="52" customFormat="1" x14ac:dyDescent="0.25"/>
    <row r="174" s="52" customFormat="1" x14ac:dyDescent="0.25"/>
    <row r="175" s="52" customFormat="1" x14ac:dyDescent="0.25"/>
    <row r="176" s="52" customFormat="1" x14ac:dyDescent="0.25"/>
    <row r="177" s="52" customFormat="1" x14ac:dyDescent="0.25"/>
    <row r="178" s="52" customFormat="1" x14ac:dyDescent="0.25"/>
    <row r="179" s="52" customFormat="1" x14ac:dyDescent="0.25"/>
    <row r="180" s="52" customFormat="1" x14ac:dyDescent="0.25"/>
    <row r="181" s="52" customFormat="1" x14ac:dyDescent="0.25"/>
    <row r="182" s="52" customFormat="1" x14ac:dyDescent="0.25"/>
    <row r="183" s="52" customFormat="1" x14ac:dyDescent="0.25"/>
    <row r="184" s="52" customFormat="1" x14ac:dyDescent="0.25"/>
    <row r="185" s="52" customFormat="1" x14ac:dyDescent="0.25"/>
    <row r="186" s="52" customFormat="1" x14ac:dyDescent="0.25"/>
    <row r="187" s="52" customFormat="1" x14ac:dyDescent="0.25"/>
    <row r="188" s="52" customFormat="1" x14ac:dyDescent="0.25"/>
    <row r="189" s="52" customFormat="1" x14ac:dyDescent="0.25"/>
    <row r="190" s="52" customFormat="1" x14ac:dyDescent="0.25"/>
    <row r="191" s="52" customFormat="1" x14ac:dyDescent="0.25"/>
    <row r="192" s="52" customFormat="1" x14ac:dyDescent="0.25"/>
    <row r="193" s="52" customFormat="1" x14ac:dyDescent="0.25"/>
    <row r="194" s="52" customFormat="1" x14ac:dyDescent="0.25"/>
    <row r="195" s="52" customFormat="1" x14ac:dyDescent="0.25"/>
    <row r="196" s="52" customFormat="1" x14ac:dyDescent="0.25"/>
    <row r="197" s="52" customFormat="1" x14ac:dyDescent="0.25"/>
    <row r="198" s="52" customFormat="1" x14ac:dyDescent="0.25"/>
    <row r="199" s="52" customFormat="1" x14ac:dyDescent="0.25"/>
    <row r="200" s="52" customFormat="1" x14ac:dyDescent="0.25"/>
    <row r="201" s="52" customFormat="1" x14ac:dyDescent="0.25"/>
    <row r="202" s="52" customFormat="1" x14ac:dyDescent="0.25"/>
    <row r="203" s="52" customFormat="1" x14ac:dyDescent="0.25"/>
    <row r="204" s="52" customFormat="1" x14ac:dyDescent="0.25"/>
    <row r="205" s="52" customFormat="1" x14ac:dyDescent="0.25"/>
    <row r="206" s="52" customFormat="1" x14ac:dyDescent="0.25"/>
    <row r="207" s="52" customFormat="1" x14ac:dyDescent="0.25"/>
    <row r="208" s="52" customFormat="1" x14ac:dyDescent="0.25"/>
    <row r="209" s="52" customFormat="1" x14ac:dyDescent="0.25"/>
    <row r="210" s="52" customFormat="1" x14ac:dyDescent="0.25"/>
    <row r="211" s="52" customFormat="1" x14ac:dyDescent="0.25"/>
    <row r="212" s="52" customFormat="1" x14ac:dyDescent="0.25"/>
    <row r="213" s="52" customFormat="1" x14ac:dyDescent="0.25"/>
    <row r="214" s="52" customFormat="1" x14ac:dyDescent="0.25"/>
    <row r="215" s="52" customFormat="1" x14ac:dyDescent="0.25"/>
    <row r="216" s="52" customFormat="1" x14ac:dyDescent="0.25"/>
    <row r="217" s="52" customFormat="1" x14ac:dyDescent="0.25"/>
    <row r="218" s="52" customFormat="1" x14ac:dyDescent="0.25"/>
    <row r="219" s="52" customFormat="1" x14ac:dyDescent="0.25"/>
    <row r="220" s="52" customFormat="1" x14ac:dyDescent="0.25"/>
    <row r="221" s="52" customFormat="1" x14ac:dyDescent="0.25"/>
    <row r="222" s="52" customFormat="1" x14ac:dyDescent="0.25"/>
    <row r="223" s="52" customFormat="1" x14ac:dyDescent="0.25"/>
    <row r="224" s="52" customFormat="1" x14ac:dyDescent="0.25"/>
    <row r="225" s="52" customFormat="1" x14ac:dyDescent="0.25"/>
    <row r="226" s="52" customFormat="1" x14ac:dyDescent="0.25"/>
    <row r="227" s="52" customFormat="1" x14ac:dyDescent="0.25"/>
    <row r="228" s="52" customFormat="1" x14ac:dyDescent="0.25"/>
    <row r="229" s="52" customFormat="1" x14ac:dyDescent="0.25"/>
    <row r="230" s="52" customFormat="1" x14ac:dyDescent="0.25"/>
    <row r="231" s="52" customFormat="1" x14ac:dyDescent="0.25"/>
    <row r="232" s="52" customFormat="1" x14ac:dyDescent="0.25"/>
    <row r="233" s="52" customFormat="1" x14ac:dyDescent="0.25"/>
    <row r="234" s="52" customFormat="1" x14ac:dyDescent="0.25"/>
    <row r="235" s="52" customFormat="1" x14ac:dyDescent="0.25"/>
    <row r="236" s="52" customFormat="1" x14ac:dyDescent="0.25"/>
    <row r="237" s="52" customFormat="1" x14ac:dyDescent="0.25"/>
    <row r="238" s="52" customFormat="1" x14ac:dyDescent="0.25"/>
    <row r="239" s="52" customFormat="1" x14ac:dyDescent="0.25"/>
    <row r="240" s="52" customFormat="1" x14ac:dyDescent="0.25"/>
    <row r="241" s="52" customFormat="1" x14ac:dyDescent="0.25"/>
    <row r="242" s="52" customFormat="1" x14ac:dyDescent="0.25"/>
    <row r="243" s="52" customFormat="1" x14ac:dyDescent="0.25"/>
    <row r="244" s="52" customFormat="1" x14ac:dyDescent="0.25"/>
    <row r="245" s="52" customFormat="1" x14ac:dyDescent="0.25"/>
    <row r="246" s="52" customFormat="1" x14ac:dyDescent="0.25"/>
    <row r="247" s="52" customFormat="1" x14ac:dyDescent="0.25"/>
    <row r="248" s="52" customFormat="1" x14ac:dyDescent="0.25"/>
    <row r="249" s="52" customFormat="1" x14ac:dyDescent="0.25"/>
    <row r="250" s="52" customFormat="1" x14ac:dyDescent="0.25"/>
    <row r="251" s="52" customFormat="1" x14ac:dyDescent="0.25"/>
    <row r="252" s="52" customFormat="1" x14ac:dyDescent="0.25"/>
    <row r="253" s="52" customFormat="1" x14ac:dyDescent="0.25"/>
    <row r="254" s="52" customFormat="1" x14ac:dyDescent="0.25"/>
    <row r="255" s="52" customFormat="1" x14ac:dyDescent="0.25"/>
    <row r="256" s="52" customFormat="1" x14ac:dyDescent="0.25"/>
    <row r="257" s="52" customFormat="1" x14ac:dyDescent="0.25"/>
    <row r="258" s="52" customFormat="1" x14ac:dyDescent="0.25"/>
    <row r="259" s="52" customFormat="1" x14ac:dyDescent="0.25"/>
    <row r="260" s="52" customFormat="1" x14ac:dyDescent="0.25"/>
    <row r="261" s="52" customFormat="1" x14ac:dyDescent="0.25"/>
    <row r="262" s="52" customFormat="1" x14ac:dyDescent="0.25"/>
    <row r="263" s="52" customFormat="1" x14ac:dyDescent="0.25"/>
    <row r="264" s="52" customFormat="1" x14ac:dyDescent="0.25"/>
    <row r="265" s="52" customFormat="1" x14ac:dyDescent="0.25"/>
    <row r="266" s="52" customFormat="1" x14ac:dyDescent="0.25"/>
    <row r="267" s="52" customFormat="1" x14ac:dyDescent="0.25"/>
    <row r="268" s="52" customFormat="1" x14ac:dyDescent="0.25"/>
    <row r="269" s="52" customFormat="1" x14ac:dyDescent="0.25"/>
    <row r="270" s="52" customFormat="1" x14ac:dyDescent="0.25"/>
    <row r="271" s="52" customFormat="1" x14ac:dyDescent="0.25"/>
    <row r="272" s="52" customFormat="1" x14ac:dyDescent="0.25"/>
    <row r="273" s="52" customFormat="1" x14ac:dyDescent="0.25"/>
    <row r="274" s="52" customFormat="1" x14ac:dyDescent="0.25"/>
    <row r="275" s="52" customFormat="1" x14ac:dyDescent="0.25"/>
    <row r="276" s="52" customFormat="1" x14ac:dyDescent="0.25"/>
    <row r="277" s="52" customFormat="1" x14ac:dyDescent="0.25"/>
    <row r="278" s="52" customFormat="1" x14ac:dyDescent="0.25"/>
    <row r="279" s="52" customFormat="1" x14ac:dyDescent="0.25"/>
    <row r="280" s="52" customFormat="1" x14ac:dyDescent="0.25"/>
    <row r="281" s="52" customFormat="1" x14ac:dyDescent="0.25"/>
    <row r="282" s="52" customFormat="1" x14ac:dyDescent="0.25"/>
    <row r="283" s="52" customFormat="1" x14ac:dyDescent="0.25"/>
    <row r="284" s="52" customFormat="1" x14ac:dyDescent="0.25"/>
    <row r="285" s="52" customFormat="1" x14ac:dyDescent="0.25"/>
    <row r="286" s="52" customFormat="1" x14ac:dyDescent="0.25"/>
    <row r="287" s="52" customFormat="1" x14ac:dyDescent="0.25"/>
    <row r="288" s="52" customFormat="1" x14ac:dyDescent="0.25"/>
    <row r="289" s="52" customFormat="1" x14ac:dyDescent="0.25"/>
    <row r="290" s="52" customFormat="1" x14ac:dyDescent="0.25"/>
    <row r="291" s="52" customFormat="1" x14ac:dyDescent="0.25"/>
    <row r="292" s="52" customFormat="1" x14ac:dyDescent="0.25"/>
    <row r="293" s="52" customFormat="1" x14ac:dyDescent="0.25"/>
    <row r="294" s="52" customFormat="1" x14ac:dyDescent="0.25"/>
    <row r="295" s="52" customFormat="1" x14ac:dyDescent="0.25"/>
    <row r="296" s="52" customFormat="1" x14ac:dyDescent="0.25"/>
    <row r="297" s="52" customFormat="1" x14ac:dyDescent="0.25"/>
    <row r="298" s="52" customFormat="1" x14ac:dyDescent="0.25"/>
    <row r="299" s="52" customFormat="1" x14ac:dyDescent="0.25"/>
    <row r="300" s="52" customFormat="1" x14ac:dyDescent="0.25"/>
    <row r="301" s="52" customFormat="1" x14ac:dyDescent="0.25"/>
    <row r="302" s="52" customFormat="1" x14ac:dyDescent="0.25"/>
    <row r="303" s="52" customFormat="1" x14ac:dyDescent="0.25"/>
    <row r="304" s="52" customFormat="1" x14ac:dyDescent="0.25"/>
    <row r="305" s="52" customFormat="1" x14ac:dyDescent="0.25"/>
    <row r="306" s="52" customFormat="1" x14ac:dyDescent="0.25"/>
    <row r="307" s="52" customFormat="1" x14ac:dyDescent="0.25"/>
    <row r="308" s="52" customFormat="1" x14ac:dyDescent="0.25"/>
    <row r="309" s="52" customFormat="1" x14ac:dyDescent="0.25"/>
    <row r="310" s="52" customFormat="1" x14ac:dyDescent="0.25"/>
    <row r="311" s="52" customFormat="1" x14ac:dyDescent="0.25"/>
    <row r="312" s="52" customFormat="1" x14ac:dyDescent="0.25"/>
    <row r="313" s="52" customFormat="1" x14ac:dyDescent="0.25"/>
    <row r="314" s="52" customFormat="1" x14ac:dyDescent="0.25"/>
    <row r="315" s="52" customFormat="1" x14ac:dyDescent="0.25"/>
    <row r="316" s="52" customFormat="1" x14ac:dyDescent="0.25"/>
    <row r="317" s="52" customFormat="1" x14ac:dyDescent="0.25"/>
    <row r="318" s="52" customFormat="1" x14ac:dyDescent="0.25"/>
    <row r="319" s="52" customFormat="1" x14ac:dyDescent="0.25"/>
    <row r="320" s="52" customFormat="1" x14ac:dyDescent="0.25"/>
    <row r="321" s="52" customFormat="1" x14ac:dyDescent="0.25"/>
    <row r="322" s="52" customFormat="1" x14ac:dyDescent="0.25"/>
    <row r="323" s="52" customFormat="1" x14ac:dyDescent="0.25"/>
    <row r="324" s="52" customFormat="1" x14ac:dyDescent="0.25"/>
    <row r="325" s="52" customFormat="1" x14ac:dyDescent="0.25"/>
    <row r="326" s="52" customFormat="1" x14ac:dyDescent="0.25"/>
    <row r="327" s="52" customFormat="1" x14ac:dyDescent="0.25"/>
    <row r="328" s="52" customFormat="1" x14ac:dyDescent="0.25"/>
    <row r="329" s="52" customFormat="1" x14ac:dyDescent="0.25"/>
    <row r="330" s="52" customFormat="1" x14ac:dyDescent="0.25"/>
    <row r="331" s="52" customFormat="1" x14ac:dyDescent="0.25"/>
    <row r="332" s="52" customFormat="1" x14ac:dyDescent="0.25"/>
    <row r="333" s="52" customFormat="1" x14ac:dyDescent="0.25"/>
    <row r="334" s="52" customFormat="1" x14ac:dyDescent="0.25"/>
    <row r="335" s="52" customFormat="1" x14ac:dyDescent="0.25"/>
    <row r="336" s="52" customFormat="1" x14ac:dyDescent="0.25"/>
    <row r="337" s="52" customFormat="1" x14ac:dyDescent="0.25"/>
    <row r="338" s="52" customFormat="1" x14ac:dyDescent="0.25"/>
    <row r="339" s="52" customFormat="1" x14ac:dyDescent="0.25"/>
    <row r="340" s="52" customFormat="1" x14ac:dyDescent="0.25"/>
    <row r="341" s="52" customFormat="1" x14ac:dyDescent="0.25"/>
    <row r="342" s="52" customFormat="1" x14ac:dyDescent="0.25"/>
    <row r="343" s="52" customFormat="1" x14ac:dyDescent="0.25"/>
    <row r="344" s="52" customFormat="1" x14ac:dyDescent="0.25"/>
    <row r="345" s="52" customFormat="1" x14ac:dyDescent="0.25"/>
    <row r="346" s="52" customFormat="1" x14ac:dyDescent="0.25"/>
    <row r="347" s="52" customFormat="1" x14ac:dyDescent="0.25"/>
    <row r="348" s="52" customFormat="1" x14ac:dyDescent="0.25"/>
    <row r="349" s="52" customFormat="1" x14ac:dyDescent="0.25"/>
    <row r="350" s="52" customFormat="1" x14ac:dyDescent="0.25"/>
    <row r="351" s="52" customFormat="1" x14ac:dyDescent="0.25"/>
    <row r="352" s="52" customFormat="1" x14ac:dyDescent="0.25"/>
    <row r="353" s="52" customFormat="1" x14ac:dyDescent="0.25"/>
    <row r="354" s="52" customFormat="1" x14ac:dyDescent="0.25"/>
    <row r="355" s="52" customFormat="1" x14ac:dyDescent="0.25"/>
    <row r="356" s="52" customFormat="1" x14ac:dyDescent="0.25"/>
    <row r="357" s="52" customFormat="1" x14ac:dyDescent="0.25"/>
    <row r="358" s="52" customFormat="1" x14ac:dyDescent="0.25"/>
    <row r="359" s="52" customFormat="1" x14ac:dyDescent="0.25"/>
    <row r="360" s="52" customFormat="1" x14ac:dyDescent="0.25"/>
    <row r="361" s="52" customFormat="1" x14ac:dyDescent="0.25"/>
    <row r="362" s="52" customFormat="1" x14ac:dyDescent="0.25"/>
    <row r="363" s="52" customFormat="1" x14ac:dyDescent="0.25"/>
    <row r="364" s="52" customFormat="1" x14ac:dyDescent="0.25"/>
    <row r="365" s="52" customFormat="1" x14ac:dyDescent="0.25"/>
    <row r="366" s="52" customFormat="1" x14ac:dyDescent="0.25"/>
    <row r="367" s="52" customFormat="1" x14ac:dyDescent="0.25"/>
    <row r="368" s="52" customFormat="1" x14ac:dyDescent="0.25"/>
    <row r="369" s="52" customFormat="1" x14ac:dyDescent="0.25"/>
    <row r="370" s="52" customFormat="1" x14ac:dyDescent="0.25"/>
    <row r="371" s="52" customFormat="1" x14ac:dyDescent="0.25"/>
    <row r="372" s="52" customFormat="1" x14ac:dyDescent="0.25"/>
    <row r="373" s="52" customFormat="1" x14ac:dyDescent="0.25"/>
    <row r="374" s="52" customFormat="1" x14ac:dyDescent="0.25"/>
    <row r="375" s="52" customFormat="1" x14ac:dyDescent="0.25"/>
    <row r="376" s="52" customFormat="1" x14ac:dyDescent="0.25"/>
    <row r="377" s="52" customFormat="1" x14ac:dyDescent="0.25"/>
    <row r="378" s="52" customFormat="1" x14ac:dyDescent="0.25"/>
    <row r="379" s="52" customFormat="1" x14ac:dyDescent="0.25"/>
    <row r="380" s="52" customFormat="1" x14ac:dyDescent="0.25"/>
    <row r="381" s="52" customFormat="1" x14ac:dyDescent="0.25"/>
    <row r="382" s="52" customFormat="1" x14ac:dyDescent="0.25"/>
    <row r="383" s="52" customFormat="1" x14ac:dyDescent="0.25"/>
    <row r="384" s="52" customFormat="1" x14ac:dyDescent="0.25"/>
    <row r="385" s="52" customFormat="1" x14ac:dyDescent="0.25"/>
    <row r="386" s="52" customFormat="1" x14ac:dyDescent="0.25"/>
    <row r="387" s="52" customFormat="1" x14ac:dyDescent="0.25"/>
    <row r="388" s="52" customFormat="1" x14ac:dyDescent="0.25"/>
    <row r="389" s="52" customFormat="1" x14ac:dyDescent="0.25"/>
    <row r="390" s="52" customFormat="1" x14ac:dyDescent="0.25"/>
    <row r="391" s="52" customFormat="1" x14ac:dyDescent="0.25"/>
    <row r="392" s="52" customFormat="1" x14ac:dyDescent="0.25"/>
    <row r="393" s="52" customFormat="1" x14ac:dyDescent="0.25"/>
    <row r="394" s="52" customFormat="1" x14ac:dyDescent="0.25"/>
    <row r="395" s="52" customFormat="1" x14ac:dyDescent="0.25"/>
    <row r="396" s="52" customFormat="1" x14ac:dyDescent="0.25"/>
    <row r="397" s="52" customFormat="1" x14ac:dyDescent="0.25"/>
    <row r="398" s="52" customFormat="1" x14ac:dyDescent="0.25"/>
    <row r="399" s="52" customFormat="1" x14ac:dyDescent="0.25"/>
    <row r="400" s="52" customFormat="1" x14ac:dyDescent="0.25"/>
    <row r="401" s="52" customFormat="1" x14ac:dyDescent="0.25"/>
    <row r="402" s="52" customFormat="1" x14ac:dyDescent="0.25"/>
    <row r="403" s="52" customFormat="1" x14ac:dyDescent="0.25"/>
    <row r="404" s="52" customFormat="1" x14ac:dyDescent="0.25"/>
    <row r="405" s="52" customFormat="1" x14ac:dyDescent="0.25"/>
    <row r="406" s="52" customFormat="1" x14ac:dyDescent="0.25"/>
    <row r="407" s="52" customFormat="1" x14ac:dyDescent="0.25"/>
    <row r="408" s="52" customFormat="1" x14ac:dyDescent="0.25"/>
    <row r="409" s="52" customFormat="1" x14ac:dyDescent="0.25"/>
    <row r="410" s="52" customFormat="1" x14ac:dyDescent="0.25"/>
    <row r="411" s="52" customFormat="1" x14ac:dyDescent="0.25"/>
    <row r="412" s="52" customFormat="1" x14ac:dyDescent="0.25"/>
    <row r="413" s="52" customFormat="1" x14ac:dyDescent="0.25"/>
    <row r="414" s="52" customFormat="1" x14ac:dyDescent="0.25"/>
    <row r="415" s="52" customFormat="1" x14ac:dyDescent="0.25"/>
    <row r="416" s="52" customFormat="1" x14ac:dyDescent="0.25"/>
    <row r="417" s="52" customFormat="1" x14ac:dyDescent="0.25"/>
    <row r="418" s="52" customFormat="1" x14ac:dyDescent="0.25"/>
    <row r="419" s="52" customFormat="1" x14ac:dyDescent="0.25"/>
    <row r="420" s="52" customFormat="1" x14ac:dyDescent="0.25"/>
    <row r="421" s="52" customFormat="1" x14ac:dyDescent="0.25"/>
    <row r="422" s="52" customFormat="1" x14ac:dyDescent="0.25"/>
    <row r="423" s="52" customFormat="1" x14ac:dyDescent="0.25"/>
    <row r="424" s="52" customFormat="1" x14ac:dyDescent="0.25"/>
    <row r="425" s="52" customFormat="1" x14ac:dyDescent="0.25"/>
    <row r="426" s="52" customFormat="1" x14ac:dyDescent="0.25"/>
    <row r="427" s="52" customFormat="1" x14ac:dyDescent="0.25"/>
    <row r="428" s="52" customFormat="1" x14ac:dyDescent="0.25"/>
    <row r="429" s="52" customFormat="1" x14ac:dyDescent="0.25"/>
    <row r="430" s="52" customFormat="1" x14ac:dyDescent="0.25"/>
    <row r="431" s="52" customFormat="1" x14ac:dyDescent="0.25"/>
    <row r="432" s="52" customFormat="1" x14ac:dyDescent="0.25"/>
    <row r="433" s="52" customFormat="1" x14ac:dyDescent="0.25"/>
    <row r="434" s="52" customFormat="1" x14ac:dyDescent="0.25"/>
    <row r="435" s="52" customFormat="1" x14ac:dyDescent="0.25"/>
    <row r="436" s="52" customFormat="1" x14ac:dyDescent="0.25"/>
    <row r="437" s="52" customFormat="1" x14ac:dyDescent="0.25"/>
    <row r="438" s="52" customFormat="1" x14ac:dyDescent="0.25"/>
    <row r="439" s="52" customFormat="1" x14ac:dyDescent="0.25"/>
    <row r="440" s="52" customFormat="1" x14ac:dyDescent="0.25"/>
    <row r="441" s="52" customFormat="1" x14ac:dyDescent="0.25"/>
    <row r="442" s="52" customFormat="1" x14ac:dyDescent="0.25"/>
    <row r="443" s="52" customFormat="1" x14ac:dyDescent="0.25"/>
    <row r="444" s="52" customFormat="1" x14ac:dyDescent="0.25"/>
    <row r="445" s="52" customFormat="1" x14ac:dyDescent="0.25"/>
    <row r="446" s="52" customFormat="1" x14ac:dyDescent="0.25"/>
    <row r="447" s="52" customFormat="1" x14ac:dyDescent="0.25"/>
    <row r="448" s="52" customFormat="1" x14ac:dyDescent="0.25"/>
    <row r="449" s="52" customFormat="1" x14ac:dyDescent="0.25"/>
    <row r="450" s="52" customFormat="1" x14ac:dyDescent="0.25"/>
    <row r="451" s="52" customFormat="1" x14ac:dyDescent="0.25"/>
    <row r="452" s="52" customFormat="1" x14ac:dyDescent="0.25"/>
    <row r="453" s="52" customFormat="1" x14ac:dyDescent="0.25"/>
    <row r="454" s="52" customFormat="1" x14ac:dyDescent="0.25"/>
    <row r="455" s="52" customFormat="1" x14ac:dyDescent="0.25"/>
    <row r="456" s="52" customFormat="1" x14ac:dyDescent="0.25"/>
    <row r="457" s="52" customFormat="1" x14ac:dyDescent="0.25"/>
    <row r="458" s="52" customFormat="1" x14ac:dyDescent="0.25"/>
    <row r="459" s="52" customFormat="1" x14ac:dyDescent="0.25"/>
    <row r="460" s="52" customFormat="1" x14ac:dyDescent="0.25"/>
    <row r="461" s="52" customFormat="1" x14ac:dyDescent="0.25"/>
    <row r="462" s="52" customFormat="1" x14ac:dyDescent="0.25"/>
    <row r="463" s="52" customFormat="1" x14ac:dyDescent="0.25"/>
    <row r="464" s="52" customFormat="1" x14ac:dyDescent="0.25"/>
    <row r="465" s="52" customFormat="1" x14ac:dyDescent="0.25"/>
    <row r="466" s="52" customFormat="1" x14ac:dyDescent="0.25"/>
    <row r="467" s="52" customFormat="1" x14ac:dyDescent="0.25"/>
    <row r="468" s="52" customFormat="1" x14ac:dyDescent="0.25"/>
    <row r="469" s="52" customFormat="1" x14ac:dyDescent="0.25"/>
    <row r="470" s="52" customFormat="1" x14ac:dyDescent="0.25"/>
    <row r="471" s="52" customFormat="1" x14ac:dyDescent="0.25"/>
    <row r="472" s="52" customFormat="1" x14ac:dyDescent="0.25"/>
    <row r="473" s="52" customFormat="1" x14ac:dyDescent="0.25"/>
    <row r="474" s="52" customFormat="1" x14ac:dyDescent="0.25"/>
    <row r="475" s="52" customFormat="1" x14ac:dyDescent="0.25"/>
    <row r="476" s="52" customFormat="1" x14ac:dyDescent="0.25"/>
    <row r="477" s="52" customFormat="1" x14ac:dyDescent="0.25"/>
    <row r="478" s="52" customFormat="1" x14ac:dyDescent="0.25"/>
    <row r="479" s="52" customFormat="1" x14ac:dyDescent="0.25"/>
    <row r="480" s="52" customFormat="1" x14ac:dyDescent="0.25"/>
    <row r="481" s="52" customFormat="1" x14ac:dyDescent="0.25"/>
    <row r="482" s="52" customFormat="1" x14ac:dyDescent="0.25"/>
    <row r="483" s="52" customFormat="1" x14ac:dyDescent="0.25"/>
    <row r="484" s="52" customFormat="1" x14ac:dyDescent="0.25"/>
    <row r="485" s="52" customFormat="1" x14ac:dyDescent="0.25"/>
    <row r="486" s="52" customFormat="1" x14ac:dyDescent="0.25"/>
    <row r="487" s="52" customFormat="1" x14ac:dyDescent="0.25"/>
    <row r="488" s="52" customFormat="1" x14ac:dyDescent="0.25"/>
    <row r="489" s="52" customFormat="1" x14ac:dyDescent="0.25"/>
    <row r="490" s="52" customFormat="1" x14ac:dyDescent="0.25"/>
    <row r="491" s="52" customFormat="1" x14ac:dyDescent="0.25"/>
    <row r="492" s="52" customFormat="1" x14ac:dyDescent="0.25"/>
    <row r="493" s="52" customFormat="1" x14ac:dyDescent="0.25"/>
    <row r="494" s="52" customFormat="1" x14ac:dyDescent="0.25"/>
    <row r="495" s="52" customFormat="1" x14ac:dyDescent="0.25"/>
    <row r="496" s="52" customFormat="1" x14ac:dyDescent="0.25"/>
    <row r="497" s="52" customFormat="1" x14ac:dyDescent="0.25"/>
    <row r="498" s="52" customFormat="1" x14ac:dyDescent="0.25"/>
    <row r="499" s="52" customFormat="1" x14ac:dyDescent="0.25"/>
    <row r="500" s="52" customFormat="1" x14ac:dyDescent="0.25"/>
    <row r="501" s="52" customFormat="1" x14ac:dyDescent="0.25"/>
    <row r="502" s="52" customFormat="1" x14ac:dyDescent="0.25"/>
    <row r="503" s="52" customFormat="1" x14ac:dyDescent="0.25"/>
    <row r="504" s="52" customFormat="1" x14ac:dyDescent="0.25"/>
    <row r="505" s="52" customFormat="1" x14ac:dyDescent="0.25"/>
    <row r="506" s="52" customFormat="1" x14ac:dyDescent="0.25"/>
    <row r="507" s="52" customFormat="1" x14ac:dyDescent="0.25"/>
    <row r="508" s="52" customFormat="1" x14ac:dyDescent="0.25"/>
    <row r="509" s="52" customFormat="1" x14ac:dyDescent="0.25"/>
    <row r="510" s="52" customFormat="1" x14ac:dyDescent="0.25"/>
    <row r="511" s="52" customFormat="1" x14ac:dyDescent="0.25"/>
    <row r="512" s="52" customFormat="1" x14ac:dyDescent="0.25"/>
    <row r="513" s="52" customFormat="1" x14ac:dyDescent="0.25"/>
    <row r="514" s="52" customFormat="1" x14ac:dyDescent="0.25"/>
    <row r="515" s="52" customFormat="1" x14ac:dyDescent="0.25"/>
    <row r="516" s="52" customFormat="1" x14ac:dyDescent="0.25"/>
    <row r="517" s="52" customFormat="1" x14ac:dyDescent="0.25"/>
    <row r="518" s="52" customFormat="1" x14ac:dyDescent="0.25"/>
    <row r="519" s="52" customFormat="1" x14ac:dyDescent="0.25"/>
    <row r="520" s="52" customFormat="1" x14ac:dyDescent="0.25"/>
    <row r="521" s="52" customFormat="1" x14ac:dyDescent="0.25"/>
    <row r="522" s="52" customFormat="1" x14ac:dyDescent="0.25"/>
    <row r="523" s="52" customFormat="1" x14ac:dyDescent="0.25"/>
    <row r="524" s="52" customFormat="1" x14ac:dyDescent="0.25"/>
    <row r="525" s="52" customFormat="1" x14ac:dyDescent="0.25"/>
    <row r="526" s="52" customFormat="1" x14ac:dyDescent="0.25"/>
    <row r="527" s="52" customFormat="1" x14ac:dyDescent="0.25"/>
    <row r="528" s="52" customFormat="1" x14ac:dyDescent="0.25"/>
    <row r="529" s="52" customFormat="1" x14ac:dyDescent="0.25"/>
    <row r="530" s="52" customFormat="1" x14ac:dyDescent="0.25"/>
    <row r="531" s="52" customFormat="1" x14ac:dyDescent="0.25"/>
    <row r="532" s="52" customFormat="1" x14ac:dyDescent="0.25"/>
    <row r="533" s="52" customFormat="1" x14ac:dyDescent="0.25"/>
    <row r="534" s="52" customFormat="1" x14ac:dyDescent="0.25"/>
    <row r="535" s="52" customFormat="1" x14ac:dyDescent="0.25"/>
    <row r="536" s="52" customFormat="1" x14ac:dyDescent="0.25"/>
    <row r="537" s="52" customFormat="1" x14ac:dyDescent="0.25"/>
  </sheetData>
  <pageMargins left="0.7" right="0.7" top="0.75" bottom="0.75" header="0.3" footer="0.3"/>
  <headerFooter>
    <oddFooter>&amp;C_x000D_&amp;1#&amp;"Aptos"&amp;6&amp;K000000 ECP-INFORMACION PUBLICA</oddFooter>
  </headerFooter>
  <ignoredErrors>
    <ignoredError sqref="G8 G15 G26 G28 G3"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42CD4-AF8A-4335-ADED-CAFFAA652D03}">
  <dimension ref="A2:AK552"/>
  <sheetViews>
    <sheetView zoomScaleNormal="100" workbookViewId="0">
      <pane xSplit="7" ySplit="2" topLeftCell="N3" activePane="bottomRight" state="frozen"/>
      <selection pane="topRight" activeCell="N22" sqref="N22"/>
      <selection pane="bottomLeft" activeCell="N22" sqref="N22"/>
      <selection pane="bottomRight" activeCell="B41" sqref="B41:C41"/>
    </sheetView>
  </sheetViews>
  <sheetFormatPr baseColWidth="10" defaultColWidth="11.42578125" defaultRowHeight="15" outlineLevelRow="1" x14ac:dyDescent="0.25"/>
  <cols>
    <col min="1" max="1" width="3.42578125" style="52" customWidth="1"/>
    <col min="2" max="2" width="47.28515625" customWidth="1"/>
    <col min="3" max="7" width="13.85546875" customWidth="1"/>
    <col min="8" max="11" width="13.85546875" hidden="1" customWidth="1"/>
    <col min="12" max="12" width="18.5703125" style="52" hidden="1" customWidth="1"/>
    <col min="13" max="13" width="13.85546875" hidden="1" customWidth="1"/>
    <col min="14" max="14" width="70.42578125" customWidth="1"/>
    <col min="15" max="15" width="17.85546875" style="52" bestFit="1" customWidth="1"/>
    <col min="16" max="16" width="15.5703125" style="52" bestFit="1" customWidth="1"/>
    <col min="17" max="37" width="11.42578125" style="52"/>
  </cols>
  <sheetData>
    <row r="2" spans="1:37" s="51" customFormat="1" x14ac:dyDescent="0.25">
      <c r="A2" s="31"/>
      <c r="B2" s="46" t="s">
        <v>119</v>
      </c>
      <c r="C2" s="47" t="s">
        <v>120</v>
      </c>
      <c r="D2" s="47" t="s">
        <v>106</v>
      </c>
      <c r="E2" s="47" t="s">
        <v>107</v>
      </c>
      <c r="F2" s="47" t="s">
        <v>4</v>
      </c>
      <c r="G2" s="47" t="s">
        <v>5</v>
      </c>
      <c r="H2" s="48" t="s">
        <v>6</v>
      </c>
      <c r="I2" s="48" t="s">
        <v>5</v>
      </c>
      <c r="J2" s="49" t="s">
        <v>7</v>
      </c>
      <c r="K2" s="49" t="s">
        <v>5</v>
      </c>
      <c r="L2" s="50" t="s">
        <v>8</v>
      </c>
      <c r="M2" s="50" t="s">
        <v>5</v>
      </c>
      <c r="N2" s="47" t="s">
        <v>9</v>
      </c>
      <c r="O2" s="31"/>
      <c r="P2" s="31"/>
      <c r="Q2" s="31"/>
      <c r="R2" s="31"/>
      <c r="S2" s="31"/>
      <c r="T2" s="31"/>
      <c r="U2" s="31"/>
      <c r="V2" s="31"/>
      <c r="W2" s="31"/>
      <c r="X2" s="31"/>
      <c r="Y2" s="31"/>
      <c r="Z2" s="31"/>
      <c r="AA2" s="31"/>
      <c r="AB2" s="31"/>
      <c r="AC2" s="31"/>
      <c r="AD2" s="31"/>
      <c r="AE2" s="31"/>
      <c r="AF2" s="31"/>
      <c r="AG2" s="31"/>
      <c r="AH2" s="31"/>
      <c r="AI2" s="31"/>
      <c r="AJ2" s="31"/>
      <c r="AK2" s="31"/>
    </row>
    <row r="3" spans="1:37" x14ac:dyDescent="0.25">
      <c r="B3" s="53" t="s">
        <v>10</v>
      </c>
      <c r="C3" s="93">
        <f>SUM(C4:C7)</f>
        <v>0</v>
      </c>
      <c r="D3" s="93">
        <f>SUM(D4:D7)</f>
        <v>28777788</v>
      </c>
      <c r="E3" s="93">
        <f>SUM(E4:E7)</f>
        <v>345071</v>
      </c>
      <c r="F3" s="93">
        <f>SUM(F4:F7)</f>
        <v>29122859</v>
      </c>
      <c r="G3" s="55">
        <f>+F3/$F$25</f>
        <v>0.94415791595926968</v>
      </c>
      <c r="H3" s="93">
        <f>SUM(H4:H7)</f>
        <v>21268425</v>
      </c>
      <c r="I3" s="55">
        <f>+H3/$H$25</f>
        <v>0.89144352033517738</v>
      </c>
      <c r="J3" s="93">
        <f>SUM(J4:J7)</f>
        <v>8232672.7699349588</v>
      </c>
      <c r="K3" s="55">
        <f t="shared" ref="K3:K25" si="0">+J3/$J$25</f>
        <v>0.85974571788076959</v>
      </c>
      <c r="L3" s="93">
        <f>SUM(L4:L7)</f>
        <v>22059967</v>
      </c>
      <c r="M3" s="55">
        <f t="shared" ref="M3:M25" si="1">+L3/$L$25</f>
        <v>0.92372669256315576</v>
      </c>
      <c r="N3" s="94"/>
    </row>
    <row r="4" spans="1:37" hidden="1" outlineLevel="1" x14ac:dyDescent="0.25">
      <c r="B4" s="57" t="s">
        <v>11</v>
      </c>
      <c r="C4" s="95">
        <v>0</v>
      </c>
      <c r="D4" s="95">
        <v>28451487</v>
      </c>
      <c r="E4" s="95">
        <v>0</v>
      </c>
      <c r="F4" s="154">
        <f>SUM(C4+D4+E4)</f>
        <v>28451487</v>
      </c>
      <c r="G4" s="59">
        <f>+D4/$F$25</f>
        <v>0.92239215496879112</v>
      </c>
      <c r="H4" s="95">
        <v>20282545</v>
      </c>
      <c r="I4" s="59">
        <f t="shared" ref="I4:I25" si="2">+H4/$H$25</f>
        <v>0.85012140373143052</v>
      </c>
      <c r="J4" s="95">
        <v>7869677.3506395658</v>
      </c>
      <c r="K4" s="59">
        <f t="shared" si="0"/>
        <v>0.82183776671219488</v>
      </c>
      <c r="L4" s="95">
        <v>21250042</v>
      </c>
      <c r="M4" s="59">
        <f t="shared" si="1"/>
        <v>0.88981234711222124</v>
      </c>
      <c r="N4" s="96"/>
      <c r="O4" s="140"/>
    </row>
    <row r="5" spans="1:37" hidden="1" outlineLevel="1" x14ac:dyDescent="0.25">
      <c r="B5" s="57" t="s">
        <v>13</v>
      </c>
      <c r="C5" s="95">
        <v>0</v>
      </c>
      <c r="D5" s="95">
        <v>0</v>
      </c>
      <c r="E5" s="95">
        <v>0</v>
      </c>
      <c r="F5" s="154">
        <f t="shared" ref="F5:F13" si="3">SUM(C5+D5+E5)</f>
        <v>0</v>
      </c>
      <c r="G5" s="59">
        <f t="shared" ref="G5:G27" si="4">+F5/$F$25</f>
        <v>0</v>
      </c>
      <c r="H5" s="95">
        <v>50489</v>
      </c>
      <c r="I5" s="59">
        <f t="shared" si="2"/>
        <v>2.1161929902286029E-3</v>
      </c>
      <c r="J5" s="95">
        <v>43742.724444444444</v>
      </c>
      <c r="K5" s="59">
        <f t="shared" si="0"/>
        <v>4.5680936289475152E-3</v>
      </c>
      <c r="L5" s="95">
        <v>209140</v>
      </c>
      <c r="M5" s="59">
        <f t="shared" si="1"/>
        <v>8.7574111277074155E-3</v>
      </c>
      <c r="N5" s="97"/>
      <c r="O5" s="60"/>
    </row>
    <row r="6" spans="1:37" hidden="1" outlineLevel="1" x14ac:dyDescent="0.25">
      <c r="B6" s="57" t="s">
        <v>121</v>
      </c>
      <c r="C6" s="95">
        <v>0</v>
      </c>
      <c r="D6" s="95">
        <v>326301</v>
      </c>
      <c r="E6" s="95">
        <v>0</v>
      </c>
      <c r="F6" s="154">
        <f t="shared" si="3"/>
        <v>326301</v>
      </c>
      <c r="G6" s="59">
        <f>+D6/$F$25</f>
        <v>1.0578620462208935E-2</v>
      </c>
      <c r="H6" s="95">
        <v>378390</v>
      </c>
      <c r="I6" s="59">
        <f t="shared" si="2"/>
        <v>1.585981630796017E-2</v>
      </c>
      <c r="J6" s="95">
        <v>160106.22168021681</v>
      </c>
      <c r="K6" s="59">
        <f t="shared" si="0"/>
        <v>1.6720042487091726E-2</v>
      </c>
      <c r="L6" s="95">
        <v>317396</v>
      </c>
      <c r="M6" s="59">
        <f t="shared" si="1"/>
        <v>1.3290462189393818E-2</v>
      </c>
      <c r="N6" s="98"/>
    </row>
    <row r="7" spans="1:37" hidden="1" outlineLevel="1" x14ac:dyDescent="0.25">
      <c r="B7" s="57" t="s">
        <v>16</v>
      </c>
      <c r="C7" s="95">
        <v>0</v>
      </c>
      <c r="D7" s="95">
        <v>0</v>
      </c>
      <c r="E7" s="95">
        <v>345071</v>
      </c>
      <c r="F7" s="154">
        <f t="shared" si="3"/>
        <v>345071</v>
      </c>
      <c r="G7" s="59">
        <f>+E7/$F$25</f>
        <v>1.1187140528269602E-2</v>
      </c>
      <c r="H7" s="95">
        <v>557001</v>
      </c>
      <c r="I7" s="59">
        <f t="shared" si="2"/>
        <v>2.3346107305558084E-2</v>
      </c>
      <c r="J7" s="95">
        <v>159146.47317073171</v>
      </c>
      <c r="K7" s="59">
        <f t="shared" si="0"/>
        <v>1.6619815052535403E-2</v>
      </c>
      <c r="L7" s="95">
        <v>283389</v>
      </c>
      <c r="M7" s="59">
        <f t="shared" si="1"/>
        <v>1.1866472133833208E-2</v>
      </c>
      <c r="N7" s="98"/>
    </row>
    <row r="8" spans="1:37" collapsed="1" x14ac:dyDescent="0.25">
      <c r="B8" s="53" t="s">
        <v>18</v>
      </c>
      <c r="C8" s="93">
        <f>SUM(C9:C14)</f>
        <v>0</v>
      </c>
      <c r="D8" s="93">
        <f>SUM(D9:D14)</f>
        <v>809353.12195121951</v>
      </c>
      <c r="E8" s="93">
        <f t="shared" ref="E8:F8" si="5">SUM(E9:E14)</f>
        <v>0</v>
      </c>
      <c r="F8" s="93">
        <f t="shared" si="5"/>
        <v>809353.12195121951</v>
      </c>
      <c r="G8" s="55">
        <f t="shared" si="4"/>
        <v>2.6239084455842471E-2</v>
      </c>
      <c r="H8" s="93">
        <f>SUM(H9:H14)</f>
        <v>1217567</v>
      </c>
      <c r="I8" s="55">
        <f t="shared" si="2"/>
        <v>5.1033031958122942E-2</v>
      </c>
      <c r="J8" s="93">
        <f>SUM(J9:J14)</f>
        <v>396381.26421680232</v>
      </c>
      <c r="K8" s="55">
        <f t="shared" si="0"/>
        <v>4.1394466181516168E-2</v>
      </c>
      <c r="L8" s="93">
        <f>SUM(L9:L14)</f>
        <v>617266</v>
      </c>
      <c r="M8" s="55">
        <f t="shared" si="1"/>
        <v>2.584705047889187E-2</v>
      </c>
      <c r="N8" s="99"/>
    </row>
    <row r="9" spans="1:37" hidden="1" outlineLevel="1" x14ac:dyDescent="0.25">
      <c r="B9" s="57" t="s">
        <v>122</v>
      </c>
      <c r="C9" s="95">
        <v>0</v>
      </c>
      <c r="D9" s="95">
        <v>82065</v>
      </c>
      <c r="E9" s="95">
        <v>0</v>
      </c>
      <c r="F9" s="154">
        <f t="shared" si="3"/>
        <v>82065</v>
      </c>
      <c r="G9" s="59">
        <f>+D9/$F$25</f>
        <v>2.6605327235625273E-3</v>
      </c>
      <c r="H9" s="95">
        <v>255996</v>
      </c>
      <c r="I9" s="59">
        <f t="shared" si="2"/>
        <v>1.0729801357257252E-2</v>
      </c>
      <c r="J9" s="95">
        <v>0</v>
      </c>
      <c r="K9" s="59">
        <f t="shared" si="0"/>
        <v>0</v>
      </c>
      <c r="L9" s="95"/>
      <c r="M9" s="59">
        <f t="shared" si="1"/>
        <v>0</v>
      </c>
      <c r="N9" s="98"/>
    </row>
    <row r="10" spans="1:37" hidden="1" outlineLevel="1" x14ac:dyDescent="0.25">
      <c r="B10" s="57" t="s">
        <v>20</v>
      </c>
      <c r="C10" s="95">
        <v>0</v>
      </c>
      <c r="D10" s="95">
        <v>121673</v>
      </c>
      <c r="E10" s="95">
        <v>0</v>
      </c>
      <c r="F10" s="154">
        <f t="shared" si="3"/>
        <v>121673</v>
      </c>
      <c r="G10" s="59">
        <f>+D10/$F$25</f>
        <v>3.9446170483643864E-3</v>
      </c>
      <c r="H10" s="95">
        <f>194101+93995</f>
        <v>288096</v>
      </c>
      <c r="I10" s="59">
        <f t="shared" si="2"/>
        <v>1.207523887803085E-2</v>
      </c>
      <c r="J10" s="95">
        <v>220426.21968563701</v>
      </c>
      <c r="K10" s="59">
        <f t="shared" si="0"/>
        <v>2.3019316299737906E-2</v>
      </c>
      <c r="L10" s="95">
        <f>140624+75997+129388</f>
        <v>346009</v>
      </c>
      <c r="M10" s="59">
        <f t="shared" si="1"/>
        <v>1.4488586912531871E-2</v>
      </c>
      <c r="N10" s="97"/>
      <c r="O10" s="60"/>
      <c r="P10" s="61"/>
    </row>
    <row r="11" spans="1:37" hidden="1" outlineLevel="1" x14ac:dyDescent="0.25">
      <c r="B11" s="57" t="s">
        <v>22</v>
      </c>
      <c r="C11" s="95">
        <v>0</v>
      </c>
      <c r="D11" s="95">
        <v>24390</v>
      </c>
      <c r="E11" s="95">
        <v>0</v>
      </c>
      <c r="F11" s="154">
        <f t="shared" si="3"/>
        <v>24390</v>
      </c>
      <c r="G11" s="59">
        <f>+D11/$F$25</f>
        <v>7.9071946783269408E-4</v>
      </c>
      <c r="H11" s="95">
        <v>88889</v>
      </c>
      <c r="I11" s="59">
        <f t="shared" si="2"/>
        <v>3.7256883421820648E-3</v>
      </c>
      <c r="J11" s="95">
        <v>0</v>
      </c>
      <c r="K11" s="59">
        <f t="shared" si="0"/>
        <v>0</v>
      </c>
      <c r="L11" s="95"/>
      <c r="M11" s="59">
        <f t="shared" si="1"/>
        <v>0</v>
      </c>
      <c r="N11" s="98"/>
    </row>
    <row r="12" spans="1:37" hidden="1" outlineLevel="1" x14ac:dyDescent="0.25">
      <c r="B12" s="57" t="s">
        <v>23</v>
      </c>
      <c r="C12" s="95">
        <v>0</v>
      </c>
      <c r="D12" s="95">
        <v>12195.121951219511</v>
      </c>
      <c r="E12" s="95">
        <v>0</v>
      </c>
      <c r="F12" s="154">
        <f t="shared" si="3"/>
        <v>12195.121951219511</v>
      </c>
      <c r="G12" s="59">
        <f>+D12/$F$25</f>
        <v>3.9536368755322256E-4</v>
      </c>
      <c r="H12" s="95"/>
      <c r="I12" s="59">
        <f t="shared" si="2"/>
        <v>0</v>
      </c>
      <c r="J12" s="95">
        <v>0</v>
      </c>
      <c r="K12" s="59">
        <f t="shared" si="0"/>
        <v>0</v>
      </c>
      <c r="L12" s="95"/>
      <c r="M12" s="59">
        <f t="shared" si="1"/>
        <v>0</v>
      </c>
      <c r="N12" s="98"/>
    </row>
    <row r="13" spans="1:37" hidden="1" outlineLevel="1" x14ac:dyDescent="0.25">
      <c r="B13" s="57" t="s">
        <v>110</v>
      </c>
      <c r="C13" s="95">
        <v>0</v>
      </c>
      <c r="D13" s="95">
        <v>569030</v>
      </c>
      <c r="E13" s="95">
        <v>0</v>
      </c>
      <c r="F13" s="154">
        <f t="shared" si="3"/>
        <v>569030</v>
      </c>
      <c r="G13" s="59">
        <f>+D13/$F$25</f>
        <v>1.8447851528529641E-2</v>
      </c>
      <c r="H13" s="95">
        <v>584586</v>
      </c>
      <c r="I13" s="59">
        <f t="shared" si="2"/>
        <v>2.4502303380652776E-2</v>
      </c>
      <c r="J13" s="95">
        <v>175955.04453116533</v>
      </c>
      <c r="K13" s="59">
        <f t="shared" si="0"/>
        <v>1.8375149881778265E-2</v>
      </c>
      <c r="L13" s="95">
        <v>168528</v>
      </c>
      <c r="M13" s="59">
        <f t="shared" si="1"/>
        <v>7.0568470045437289E-3</v>
      </c>
      <c r="N13" s="97"/>
      <c r="O13" s="62"/>
      <c r="P13" s="62">
        <f>+J13/J4</f>
        <v>2.2358609723290058E-2</v>
      </c>
      <c r="R13" s="62">
        <f>+L13/L4</f>
        <v>7.9307137369422614E-3</v>
      </c>
    </row>
    <row r="14" spans="1:37" hidden="1" outlineLevel="1" x14ac:dyDescent="0.25">
      <c r="B14" s="57" t="s">
        <v>26</v>
      </c>
      <c r="C14" s="95" t="s">
        <v>12</v>
      </c>
      <c r="D14" s="95" t="s">
        <v>17</v>
      </c>
      <c r="E14" s="95" t="s">
        <v>17</v>
      </c>
      <c r="F14" s="95">
        <v>0</v>
      </c>
      <c r="G14" s="59">
        <f t="shared" si="4"/>
        <v>0</v>
      </c>
      <c r="H14" s="95"/>
      <c r="I14" s="59">
        <f t="shared" si="2"/>
        <v>0</v>
      </c>
      <c r="J14" s="95">
        <v>0</v>
      </c>
      <c r="K14" s="59">
        <f t="shared" si="0"/>
        <v>0</v>
      </c>
      <c r="L14" s="95">
        <v>102729</v>
      </c>
      <c r="M14" s="59">
        <f t="shared" si="1"/>
        <v>4.3016165618162717E-3</v>
      </c>
      <c r="N14" s="98"/>
    </row>
    <row r="15" spans="1:37" collapsed="1" x14ac:dyDescent="0.25">
      <c r="B15" s="53" t="s">
        <v>27</v>
      </c>
      <c r="C15" s="93">
        <f>SUM(C16:C24)</f>
        <v>0</v>
      </c>
      <c r="D15" s="93">
        <f t="shared" ref="D15:F15" si="6">SUM(D16:D24)</f>
        <v>660203.76727682923</v>
      </c>
      <c r="E15" s="93">
        <f t="shared" si="6"/>
        <v>252910.41448780487</v>
      </c>
      <c r="F15" s="93">
        <f t="shared" si="6"/>
        <v>913114.18176463421</v>
      </c>
      <c r="G15" s="55">
        <f t="shared" si="4"/>
        <v>2.9602999584887966E-2</v>
      </c>
      <c r="H15" s="93">
        <f>SUM(H16:H24)</f>
        <v>1372418</v>
      </c>
      <c r="I15" s="55">
        <f t="shared" si="2"/>
        <v>5.7523447706699649E-2</v>
      </c>
      <c r="J15" s="93">
        <f>SUM(J16:J24)</f>
        <v>946652.59481300809</v>
      </c>
      <c r="K15" s="55">
        <f t="shared" si="0"/>
        <v>9.885981593771434E-2</v>
      </c>
      <c r="L15" s="93">
        <f>SUM(L16:L24)</f>
        <v>1204254</v>
      </c>
      <c r="M15" s="55">
        <f t="shared" si="1"/>
        <v>5.0426256957952408E-2</v>
      </c>
      <c r="N15" s="99"/>
      <c r="O15" s="100"/>
    </row>
    <row r="16" spans="1:37" hidden="1" outlineLevel="1" x14ac:dyDescent="0.25">
      <c r="B16" s="101" t="s">
        <v>28</v>
      </c>
      <c r="C16" s="95">
        <v>0</v>
      </c>
      <c r="D16" s="95">
        <v>84231</v>
      </c>
      <c r="E16" s="95">
        <v>73918</v>
      </c>
      <c r="F16" s="154">
        <f t="shared" ref="F16:F24" si="7">SUM(C16+D16+E16)</f>
        <v>158149</v>
      </c>
      <c r="G16" s="59">
        <f t="shared" si="4"/>
        <v>5.1271624894740769E-3</v>
      </c>
      <c r="H16" s="95">
        <v>298612</v>
      </c>
      <c r="I16" s="59">
        <f t="shared" si="2"/>
        <v>1.2516005886393938E-2</v>
      </c>
      <c r="J16" s="95">
        <v>220691.17004336044</v>
      </c>
      <c r="K16" s="59">
        <f t="shared" si="0"/>
        <v>2.3046985313419047E-2</v>
      </c>
      <c r="L16" s="95">
        <v>219641</v>
      </c>
      <c r="M16" s="59">
        <f t="shared" si="1"/>
        <v>9.1971241154288254E-3</v>
      </c>
      <c r="N16" s="97"/>
      <c r="O16" s="102"/>
      <c r="P16" s="52">
        <f>+O16*15/16</f>
        <v>0</v>
      </c>
    </row>
    <row r="17" spans="2:15" hidden="1" outlineLevel="1" x14ac:dyDescent="0.25">
      <c r="B17" s="101" t="s">
        <v>30</v>
      </c>
      <c r="C17" s="95">
        <v>0</v>
      </c>
      <c r="D17" s="95">
        <v>156925.99931707318</v>
      </c>
      <c r="E17" s="95">
        <v>92421.90146341463</v>
      </c>
      <c r="F17" s="154">
        <f t="shared" si="7"/>
        <v>249347.90078048781</v>
      </c>
      <c r="G17" s="59">
        <f t="shared" si="4"/>
        <v>8.083814653970756E-3</v>
      </c>
      <c r="H17" s="95">
        <v>304120</v>
      </c>
      <c r="I17" s="59">
        <f t="shared" si="2"/>
        <v>1.2746867875939764E-2</v>
      </c>
      <c r="J17" s="95">
        <v>219395.4613387534</v>
      </c>
      <c r="K17" s="59">
        <f t="shared" si="0"/>
        <v>2.2911673241442266E-2</v>
      </c>
      <c r="L17" s="95">
        <f>280137-26000</f>
        <v>254137</v>
      </c>
      <c r="M17" s="59">
        <f t="shared" si="1"/>
        <v>1.0641590282883138E-2</v>
      </c>
      <c r="N17" s="97"/>
    </row>
    <row r="18" spans="2:15" hidden="1" outlineLevel="1" x14ac:dyDescent="0.25">
      <c r="B18" s="101" t="s">
        <v>32</v>
      </c>
      <c r="C18" s="95">
        <v>0</v>
      </c>
      <c r="D18" s="95">
        <v>50914.009756097548</v>
      </c>
      <c r="E18" s="95"/>
      <c r="F18" s="154">
        <f t="shared" si="7"/>
        <v>50914.009756097548</v>
      </c>
      <c r="G18" s="59">
        <f t="shared" si="4"/>
        <v>1.6506231529139011E-3</v>
      </c>
      <c r="H18" s="95">
        <v>75007</v>
      </c>
      <c r="I18" s="59">
        <f t="shared" si="2"/>
        <v>3.1438390068743056E-3</v>
      </c>
      <c r="J18" s="95">
        <v>67782.657078590782</v>
      </c>
      <c r="K18" s="59">
        <f t="shared" si="0"/>
        <v>7.0786062799334925E-3</v>
      </c>
      <c r="L18" s="95">
        <f>92643-12000</f>
        <v>80643</v>
      </c>
      <c r="M18" s="59">
        <f t="shared" si="1"/>
        <v>3.3767997780037736E-3</v>
      </c>
      <c r="N18" s="97"/>
    </row>
    <row r="19" spans="2:15" hidden="1" outlineLevel="1" x14ac:dyDescent="0.25">
      <c r="B19" s="101" t="s">
        <v>34</v>
      </c>
      <c r="C19" s="95">
        <v>0</v>
      </c>
      <c r="D19" s="95">
        <v>59940.680048780479</v>
      </c>
      <c r="E19" s="95">
        <v>19980.22668292683</v>
      </c>
      <c r="F19" s="154">
        <f t="shared" si="7"/>
        <v>79920.906731707306</v>
      </c>
      <c r="G19" s="59">
        <f t="shared" si="4"/>
        <v>2.5910216006396875E-3</v>
      </c>
      <c r="H19" s="95">
        <v>23175</v>
      </c>
      <c r="I19" s="59">
        <f t="shared" si="2"/>
        <v>9.7135559326878861E-4</v>
      </c>
      <c r="J19" s="95">
        <v>0</v>
      </c>
      <c r="K19" s="59">
        <f t="shared" si="0"/>
        <v>0</v>
      </c>
      <c r="L19" s="95">
        <v>0</v>
      </c>
      <c r="M19" s="59">
        <f t="shared" si="1"/>
        <v>0</v>
      </c>
      <c r="N19" s="97"/>
      <c r="O19" s="60"/>
    </row>
    <row r="20" spans="2:15" hidden="1" outlineLevel="1" x14ac:dyDescent="0.25">
      <c r="B20" s="57" t="s">
        <v>35</v>
      </c>
      <c r="C20" s="95">
        <v>0</v>
      </c>
      <c r="D20" s="95">
        <v>57712.182439024378</v>
      </c>
      <c r="E20" s="95"/>
      <c r="F20" s="154">
        <f t="shared" si="7"/>
        <v>57712.182439024378</v>
      </c>
      <c r="G20" s="59">
        <f t="shared" si="4"/>
        <v>1.8710187037986352E-3</v>
      </c>
      <c r="H20" s="95">
        <v>70760</v>
      </c>
      <c r="I20" s="59">
        <f t="shared" si="2"/>
        <v>2.9658304975059111E-3</v>
      </c>
      <c r="J20" s="95">
        <v>52150.901441734415</v>
      </c>
      <c r="K20" s="59">
        <f t="shared" si="0"/>
        <v>5.4461674174506808E-3</v>
      </c>
      <c r="L20" s="95">
        <f>97802-13000</f>
        <v>84802</v>
      </c>
      <c r="M20" s="59">
        <f t="shared" si="1"/>
        <v>3.5509514126988826E-3</v>
      </c>
      <c r="N20" s="97"/>
    </row>
    <row r="21" spans="2:15" hidden="1" outlineLevel="1" x14ac:dyDescent="0.25">
      <c r="B21" s="57" t="s">
        <v>37</v>
      </c>
      <c r="C21" s="95">
        <v>0</v>
      </c>
      <c r="D21" s="95">
        <v>86881.609756097547</v>
      </c>
      <c r="E21" s="95">
        <v>28960.536585365855</v>
      </c>
      <c r="F21" s="154">
        <f t="shared" si="7"/>
        <v>115842.14634146341</v>
      </c>
      <c r="G21" s="59">
        <f t="shared" si="4"/>
        <v>3.7555818084345641E-3</v>
      </c>
      <c r="H21" s="95">
        <v>118049</v>
      </c>
      <c r="I21" s="59">
        <f t="shared" si="2"/>
        <v>4.9478988750717252E-3</v>
      </c>
      <c r="J21" s="95">
        <v>108729.03730081301</v>
      </c>
      <c r="K21" s="59">
        <f t="shared" si="0"/>
        <v>1.1354675066164567E-2</v>
      </c>
      <c r="L21" s="95">
        <v>162113</v>
      </c>
      <c r="M21" s="59">
        <f t="shared" si="1"/>
        <v>6.7882288904371826E-3</v>
      </c>
      <c r="N21" s="97"/>
    </row>
    <row r="22" spans="2:15" hidden="1" outlineLevel="1" x14ac:dyDescent="0.25">
      <c r="B22" s="57" t="s">
        <v>39</v>
      </c>
      <c r="C22" s="95">
        <v>0</v>
      </c>
      <c r="D22" s="95">
        <v>106224.19902439024</v>
      </c>
      <c r="E22" s="95">
        <v>37629.749756097561</v>
      </c>
      <c r="F22" s="154">
        <f t="shared" si="7"/>
        <v>143853.94878048782</v>
      </c>
      <c r="G22" s="59">
        <f t="shared" si="4"/>
        <v>4.6637194680335782E-3</v>
      </c>
      <c r="H22" s="95">
        <v>308990</v>
      </c>
      <c r="I22" s="59">
        <f t="shared" si="2"/>
        <v>1.2950988770835944E-2</v>
      </c>
      <c r="J22" s="95">
        <v>157456.84724119242</v>
      </c>
      <c r="K22" s="59">
        <f t="shared" si="0"/>
        <v>1.6443365836304354E-2</v>
      </c>
      <c r="L22" s="95">
        <v>325000</v>
      </c>
      <c r="M22" s="59">
        <f t="shared" si="1"/>
        <v>1.3608867823012863E-2</v>
      </c>
      <c r="N22" s="97"/>
    </row>
    <row r="23" spans="2:15" hidden="1" outlineLevel="1" x14ac:dyDescent="0.25">
      <c r="B23" s="101" t="s">
        <v>41</v>
      </c>
      <c r="C23" s="95">
        <v>0</v>
      </c>
      <c r="D23" s="95">
        <v>28105.794252439031</v>
      </c>
      <c r="E23" s="95"/>
      <c r="F23" s="154">
        <f t="shared" si="7"/>
        <v>28105.794252439031</v>
      </c>
      <c r="G23" s="59">
        <f t="shared" si="4"/>
        <v>9.1118485749503006E-4</v>
      </c>
      <c r="H23" s="95">
        <v>89798</v>
      </c>
      <c r="I23" s="59">
        <f t="shared" si="2"/>
        <v>3.7637881149665884E-3</v>
      </c>
      <c r="J23" s="95">
        <v>60975.609756097561</v>
      </c>
      <c r="K23" s="59">
        <f t="shared" si="0"/>
        <v>6.3677399610027156E-3</v>
      </c>
      <c r="L23" s="95">
        <v>0</v>
      </c>
      <c r="M23" s="59">
        <f t="shared" si="1"/>
        <v>0</v>
      </c>
      <c r="N23" s="97"/>
    </row>
    <row r="24" spans="2:15" hidden="1" outlineLevel="1" x14ac:dyDescent="0.25">
      <c r="B24" s="57" t="s">
        <v>43</v>
      </c>
      <c r="C24" s="95">
        <v>0</v>
      </c>
      <c r="D24" s="95">
        <v>29268.292682926836</v>
      </c>
      <c r="E24" s="95"/>
      <c r="F24" s="154">
        <f t="shared" si="7"/>
        <v>29268.292682926836</v>
      </c>
      <c r="G24" s="59">
        <f t="shared" si="4"/>
        <v>9.488728501277345E-4</v>
      </c>
      <c r="H24" s="95">
        <v>83907</v>
      </c>
      <c r="I24" s="59">
        <f t="shared" si="2"/>
        <v>3.516873085842686E-3</v>
      </c>
      <c r="J24" s="95">
        <v>59470.910612466134</v>
      </c>
      <c r="K24" s="59">
        <f t="shared" si="0"/>
        <v>6.2106028219972255E-3</v>
      </c>
      <c r="L24" s="95">
        <v>77918</v>
      </c>
      <c r="M24" s="59">
        <f t="shared" si="1"/>
        <v>3.2626946554877427E-3</v>
      </c>
      <c r="N24" s="97"/>
      <c r="O24" s="60"/>
    </row>
    <row r="25" spans="2:15" collapsed="1" x14ac:dyDescent="0.25">
      <c r="B25" s="64" t="s">
        <v>45</v>
      </c>
      <c r="C25" s="106">
        <f>+C3+C8+C15</f>
        <v>0</v>
      </c>
      <c r="D25" s="106">
        <f t="shared" ref="D25:F25" si="8">+D3+D8+D15</f>
        <v>30247344.88922805</v>
      </c>
      <c r="E25" s="106">
        <f t="shared" si="8"/>
        <v>597981.41448780487</v>
      </c>
      <c r="F25" s="106">
        <f t="shared" si="8"/>
        <v>30845326.303715851</v>
      </c>
      <c r="G25" s="66">
        <f t="shared" si="4"/>
        <v>1</v>
      </c>
      <c r="H25" s="107">
        <f>+H3+H8+H15</f>
        <v>23858410</v>
      </c>
      <c r="I25" s="108">
        <f t="shared" si="2"/>
        <v>1</v>
      </c>
      <c r="J25" s="109">
        <f>+J3+J8+J15</f>
        <v>9575706.6289647687</v>
      </c>
      <c r="K25" s="110">
        <f t="shared" si="0"/>
        <v>1</v>
      </c>
      <c r="L25" s="111">
        <f>+L3+L8+L15</f>
        <v>23881487</v>
      </c>
      <c r="M25" s="112">
        <f t="shared" si="1"/>
        <v>1</v>
      </c>
      <c r="N25" s="106"/>
    </row>
    <row r="26" spans="2:15" hidden="1" outlineLevel="1" x14ac:dyDescent="0.25">
      <c r="B26" s="149" t="s">
        <v>46</v>
      </c>
      <c r="C26" s="150">
        <v>0</v>
      </c>
      <c r="D26" s="150">
        <f>+D25*0.15</f>
        <v>4537101.7333842069</v>
      </c>
      <c r="E26" s="150">
        <f>+E25*0.15</f>
        <v>89697.21217317073</v>
      </c>
      <c r="F26" s="150">
        <f>+F25*G26</f>
        <v>4626798.9455573773</v>
      </c>
      <c r="G26" s="151">
        <v>0.15</v>
      </c>
      <c r="H26" s="113">
        <v>0</v>
      </c>
      <c r="I26" s="71">
        <f>+H26/H25</f>
        <v>0</v>
      </c>
      <c r="J26" s="113">
        <v>0</v>
      </c>
      <c r="K26" s="71">
        <f>+J26/J25</f>
        <v>0</v>
      </c>
      <c r="L26" s="113">
        <v>493025</v>
      </c>
      <c r="M26" s="71">
        <f>+L26/L25</f>
        <v>2.0644652487510514E-2</v>
      </c>
      <c r="N26" s="114"/>
    </row>
    <row r="27" spans="2:15" collapsed="1" x14ac:dyDescent="0.25">
      <c r="B27" s="73" t="s">
        <v>47</v>
      </c>
      <c r="C27" s="115">
        <f t="shared" ref="C27:E27" si="9">+C25+C26</f>
        <v>0</v>
      </c>
      <c r="D27" s="115">
        <f t="shared" si="9"/>
        <v>34784446.622612253</v>
      </c>
      <c r="E27" s="115">
        <f t="shared" si="9"/>
        <v>687678.62666097563</v>
      </c>
      <c r="F27" s="115">
        <f>+F25+F26</f>
        <v>35472125.249273226</v>
      </c>
      <c r="G27" s="75">
        <f t="shared" si="4"/>
        <v>1.1499999999999999</v>
      </c>
      <c r="H27" s="116">
        <f>+H25+H26</f>
        <v>23858410</v>
      </c>
      <c r="I27" s="117">
        <f>+I25+I26</f>
        <v>1</v>
      </c>
      <c r="J27" s="118">
        <f t="shared" ref="J27:K27" si="10">+J25+J26</f>
        <v>9575706.6289647687</v>
      </c>
      <c r="K27" s="119">
        <f t="shared" si="10"/>
        <v>1</v>
      </c>
      <c r="L27" s="120">
        <f>+L25+L26</f>
        <v>24374512</v>
      </c>
      <c r="M27" s="121">
        <f>+M25+M26</f>
        <v>1.0206446524875106</v>
      </c>
      <c r="N27" s="115"/>
    </row>
    <row r="28" spans="2:15" customFormat="1" x14ac:dyDescent="0.25">
      <c r="B28" s="137"/>
      <c r="C28" s="146"/>
      <c r="D28" s="146"/>
      <c r="E28" s="146"/>
      <c r="F28" s="146"/>
      <c r="G28" s="147"/>
      <c r="H28" s="146"/>
      <c r="I28" s="147"/>
      <c r="J28" s="146"/>
      <c r="K28" s="148"/>
      <c r="L28" s="146"/>
      <c r="M28" s="147"/>
      <c r="N28" s="146"/>
    </row>
    <row r="29" spans="2:15" s="52" customFormat="1" x14ac:dyDescent="0.25">
      <c r="B29" s="152" t="s">
        <v>123</v>
      </c>
      <c r="C29" s="155" t="s">
        <v>120</v>
      </c>
      <c r="D29" s="155"/>
      <c r="E29" s="155"/>
      <c r="F29" s="155"/>
      <c r="G29" s="78"/>
      <c r="H29" s="78"/>
      <c r="I29" s="78"/>
      <c r="J29" s="78"/>
      <c r="K29" s="78"/>
      <c r="M29" s="78"/>
      <c r="N29" s="78"/>
    </row>
    <row r="30" spans="2:15" s="52" customFormat="1" x14ac:dyDescent="0.25">
      <c r="B30" s="142" t="s">
        <v>124</v>
      </c>
      <c r="C30" s="93">
        <v>146341</v>
      </c>
      <c r="G30" s="78"/>
      <c r="H30" s="78"/>
      <c r="I30" s="78"/>
      <c r="J30" s="78"/>
      <c r="K30" s="78"/>
      <c r="M30" s="78"/>
      <c r="N30" s="78"/>
    </row>
    <row r="31" spans="2:15" s="52" customFormat="1" x14ac:dyDescent="0.25">
      <c r="B31" s="143" t="s">
        <v>125</v>
      </c>
      <c r="C31" s="141">
        <v>86644</v>
      </c>
      <c r="G31" s="78"/>
      <c r="H31" s="78"/>
      <c r="I31" s="78"/>
      <c r="J31" s="78"/>
      <c r="K31" s="78"/>
      <c r="M31" s="78"/>
      <c r="N31" s="78"/>
    </row>
    <row r="32" spans="2:15" s="52" customFormat="1" x14ac:dyDescent="0.25">
      <c r="B32" s="143" t="s">
        <v>126</v>
      </c>
      <c r="C32" s="141">
        <f>SUM(C33:C38)</f>
        <v>331363</v>
      </c>
      <c r="G32" s="78"/>
      <c r="H32" s="78"/>
      <c r="I32" s="78"/>
      <c r="J32" s="78"/>
      <c r="K32" s="78"/>
      <c r="M32" s="78"/>
      <c r="N32" s="78"/>
    </row>
    <row r="33" spans="2:14" s="52" customFormat="1" hidden="1" outlineLevel="1" x14ac:dyDescent="0.25">
      <c r="B33" s="101" t="s">
        <v>28</v>
      </c>
      <c r="C33" s="144">
        <v>84232</v>
      </c>
      <c r="D33"/>
      <c r="E33"/>
      <c r="G33" s="78"/>
      <c r="H33" s="78"/>
      <c r="I33" s="78"/>
      <c r="J33" s="78"/>
      <c r="K33" s="78"/>
      <c r="M33" s="78"/>
      <c r="N33" s="78"/>
    </row>
    <row r="34" spans="2:14" s="52" customFormat="1" hidden="1" outlineLevel="1" x14ac:dyDescent="0.25">
      <c r="B34" s="101" t="s">
        <v>30</v>
      </c>
      <c r="C34" s="144">
        <v>78464</v>
      </c>
      <c r="D34"/>
      <c r="E34"/>
      <c r="G34" s="78"/>
      <c r="H34" s="78"/>
      <c r="I34" s="78"/>
      <c r="J34" s="78"/>
      <c r="K34" s="78"/>
      <c r="M34" s="78"/>
      <c r="N34" s="78"/>
    </row>
    <row r="35" spans="2:14" s="52" customFormat="1" hidden="1" outlineLevel="1" x14ac:dyDescent="0.25">
      <c r="B35" s="57" t="s">
        <v>39</v>
      </c>
      <c r="C35" s="144">
        <v>70900</v>
      </c>
      <c r="D35"/>
      <c r="E35"/>
      <c r="G35" s="78"/>
      <c r="H35" s="78"/>
      <c r="I35" s="78"/>
      <c r="J35" s="78"/>
      <c r="K35" s="78"/>
      <c r="M35" s="78"/>
      <c r="N35" s="78"/>
    </row>
    <row r="36" spans="2:14" s="52" customFormat="1" hidden="1" outlineLevel="1" x14ac:dyDescent="0.25">
      <c r="B36" s="101" t="s">
        <v>32</v>
      </c>
      <c r="C36" s="144">
        <v>25458</v>
      </c>
      <c r="D36"/>
      <c r="E36"/>
      <c r="G36" s="78"/>
      <c r="H36" s="78"/>
      <c r="I36" s="78"/>
      <c r="J36" s="78"/>
      <c r="K36" s="78"/>
      <c r="M36" s="78"/>
      <c r="N36" s="78"/>
    </row>
    <row r="37" spans="2:14" s="52" customFormat="1" hidden="1" outlineLevel="1" x14ac:dyDescent="0.25">
      <c r="B37" s="57" t="s">
        <v>35</v>
      </c>
      <c r="C37" s="144">
        <v>28859</v>
      </c>
      <c r="D37"/>
      <c r="E37"/>
      <c r="G37" s="78"/>
      <c r="H37" s="78"/>
      <c r="I37" s="78"/>
      <c r="J37" s="78"/>
      <c r="K37" s="78"/>
      <c r="M37" s="78"/>
      <c r="N37" s="78"/>
    </row>
    <row r="38" spans="2:14" s="52" customFormat="1" hidden="1" outlineLevel="1" x14ac:dyDescent="0.25">
      <c r="B38" s="57" t="s">
        <v>37</v>
      </c>
      <c r="C38" s="144">
        <v>43450</v>
      </c>
      <c r="D38"/>
      <c r="E38"/>
      <c r="G38" s="78"/>
      <c r="H38" s="78"/>
      <c r="I38" s="78"/>
      <c r="J38" s="78"/>
      <c r="K38" s="78"/>
      <c r="M38" s="78"/>
      <c r="N38" s="78"/>
    </row>
    <row r="39" spans="2:14" s="52" customFormat="1" collapsed="1" x14ac:dyDescent="0.25">
      <c r="B39" s="143" t="s">
        <v>43</v>
      </c>
      <c r="C39" s="141">
        <v>9658</v>
      </c>
      <c r="G39" s="78"/>
      <c r="H39" s="78"/>
      <c r="I39" s="78"/>
      <c r="J39" s="78"/>
      <c r="K39" s="78"/>
      <c r="M39" s="78"/>
      <c r="N39" s="78"/>
    </row>
    <row r="40" spans="2:14" s="52" customFormat="1" x14ac:dyDescent="0.25">
      <c r="B40" s="73" t="s">
        <v>127</v>
      </c>
      <c r="C40" s="145">
        <f>C30+C31+C32+C39</f>
        <v>574006</v>
      </c>
      <c r="G40" s="78"/>
      <c r="H40" s="78"/>
      <c r="I40" s="78"/>
      <c r="J40" s="78"/>
      <c r="K40" s="78"/>
      <c r="M40" s="78"/>
      <c r="N40" s="78"/>
    </row>
    <row r="41" spans="2:14" s="52" customFormat="1" x14ac:dyDescent="0.25">
      <c r="B41" s="73" t="s">
        <v>128</v>
      </c>
      <c r="C41" s="136">
        <f>F25+C40</f>
        <v>31419332.303715851</v>
      </c>
      <c r="G41" s="78"/>
      <c r="H41" s="78"/>
      <c r="I41" s="78"/>
      <c r="J41" s="78"/>
      <c r="K41" s="78"/>
      <c r="M41" s="78"/>
      <c r="N41" s="78"/>
    </row>
    <row r="42" spans="2:14" s="52" customFormat="1" x14ac:dyDescent="0.25">
      <c r="B42" s="137"/>
      <c r="C42"/>
      <c r="D42"/>
      <c r="E42"/>
      <c r="F42" s="138"/>
      <c r="G42" s="78"/>
      <c r="H42" s="78"/>
      <c r="I42" s="78"/>
      <c r="J42" s="78"/>
      <c r="K42" s="78"/>
      <c r="M42" s="78"/>
      <c r="N42" s="78"/>
    </row>
    <row r="43" spans="2:14" customFormat="1" x14ac:dyDescent="0.25">
      <c r="B43" s="137"/>
      <c r="F43" s="138"/>
      <c r="G43" s="139"/>
      <c r="H43" s="139"/>
      <c r="I43" s="139"/>
      <c r="J43" s="139"/>
      <c r="K43" s="139"/>
      <c r="M43" s="139"/>
      <c r="N43" s="139"/>
    </row>
    <row r="44" spans="2:14" s="52" customFormat="1" x14ac:dyDescent="0.25">
      <c r="B44" s="52" t="s">
        <v>52</v>
      </c>
      <c r="F44" s="78">
        <v>4100</v>
      </c>
      <c r="G44" s="78"/>
      <c r="H44" s="78"/>
      <c r="I44" s="78"/>
      <c r="J44" s="78"/>
      <c r="K44" s="78"/>
      <c r="M44" s="78"/>
      <c r="N44" s="78"/>
    </row>
    <row r="45" spans="2:14" s="52" customFormat="1" x14ac:dyDescent="0.25">
      <c r="B45" s="52" t="s">
        <v>53</v>
      </c>
      <c r="F45" s="86">
        <v>0.08</v>
      </c>
      <c r="G45" s="78"/>
      <c r="H45" s="78"/>
      <c r="I45" s="78"/>
      <c r="J45" s="78"/>
      <c r="K45" s="78"/>
      <c r="M45" s="78"/>
      <c r="N45" s="78"/>
    </row>
    <row r="46" spans="2:14" s="52" customFormat="1" x14ac:dyDescent="0.25">
      <c r="F46" s="86"/>
      <c r="G46" s="78"/>
      <c r="H46" s="78"/>
      <c r="I46" s="78"/>
      <c r="J46" s="78"/>
      <c r="K46" s="78"/>
      <c r="M46" s="78"/>
      <c r="N46" s="78"/>
    </row>
    <row r="47" spans="2:14" s="82" customFormat="1" x14ac:dyDescent="0.25">
      <c r="B47" s="73" t="s">
        <v>48</v>
      </c>
      <c r="C47" s="115"/>
      <c r="D47" s="115"/>
      <c r="E47" s="115"/>
      <c r="F47" s="79">
        <v>263</v>
      </c>
      <c r="G47" s="79"/>
      <c r="H47" s="80">
        <v>312</v>
      </c>
      <c r="I47" s="80"/>
      <c r="J47" s="81">
        <v>101</v>
      </c>
      <c r="K47" s="81"/>
      <c r="L47" s="122">
        <v>193</v>
      </c>
      <c r="M47" s="122"/>
      <c r="N47" s="79"/>
    </row>
    <row r="48" spans="2:14" s="82" customFormat="1" x14ac:dyDescent="0.25">
      <c r="B48" s="53" t="s">
        <v>49</v>
      </c>
      <c r="C48" s="93"/>
      <c r="D48" s="93"/>
      <c r="E48" s="93"/>
      <c r="F48" s="93">
        <f>+D4/F47</f>
        <v>108180.55893536122</v>
      </c>
      <c r="G48" s="55"/>
      <c r="H48" s="93">
        <f>+H4/H47</f>
        <v>65008.157051282054</v>
      </c>
      <c r="I48" s="55"/>
      <c r="J48" s="93">
        <f>+J4/J47</f>
        <v>77917.597531084815</v>
      </c>
      <c r="K48" s="55"/>
      <c r="L48" s="93">
        <f>+L4/L47</f>
        <v>110103.84455958549</v>
      </c>
      <c r="M48" s="55"/>
      <c r="N48" s="55"/>
    </row>
    <row r="49" spans="2:15" s="82" customFormat="1" x14ac:dyDescent="0.25">
      <c r="B49" s="73" t="s">
        <v>50</v>
      </c>
      <c r="C49" s="115"/>
      <c r="D49" s="115"/>
      <c r="E49" s="115"/>
      <c r="F49" s="115">
        <f>+F25/F47</f>
        <v>117282.60951983213</v>
      </c>
      <c r="G49" s="75">
        <f>+(F49-F48)/F48</f>
        <v>8.4137581410625384E-2</v>
      </c>
      <c r="H49" s="116">
        <f>+H25/H47</f>
        <v>76469.262820512828</v>
      </c>
      <c r="I49" s="117">
        <f>+(H49-H48)/H48</f>
        <v>0.17630257938537797</v>
      </c>
      <c r="J49" s="118">
        <f>+J25/J47</f>
        <v>94808.976524403653</v>
      </c>
      <c r="K49" s="119">
        <f>+(J49-J48)/J48</f>
        <v>0.21678516187027086</v>
      </c>
      <c r="L49" s="120">
        <f>+L25/L47</f>
        <v>123738.27461139897</v>
      </c>
      <c r="M49" s="121">
        <f>+(L49-L48)/L48</f>
        <v>0.12383246113113577</v>
      </c>
      <c r="N49" s="75"/>
    </row>
    <row r="50" spans="2:15" s="127" customFormat="1" x14ac:dyDescent="0.25">
      <c r="B50" s="123"/>
      <c r="C50" s="124"/>
      <c r="D50" s="124"/>
      <c r="E50" s="124"/>
      <c r="F50" s="124"/>
      <c r="G50" s="125"/>
      <c r="H50" s="124"/>
      <c r="I50" s="125"/>
      <c r="J50" s="124"/>
      <c r="K50" s="126"/>
      <c r="L50" s="124"/>
      <c r="M50" s="125"/>
      <c r="N50" s="125"/>
    </row>
    <row r="51" spans="2:15" s="52" customFormat="1" x14ac:dyDescent="0.25">
      <c r="F51" s="78"/>
      <c r="G51" s="78"/>
      <c r="H51" s="78"/>
      <c r="I51" s="78"/>
      <c r="J51" s="78"/>
      <c r="K51" s="78"/>
      <c r="M51" s="78"/>
      <c r="N51" s="78"/>
    </row>
    <row r="52" spans="2:15" s="52" customFormat="1" x14ac:dyDescent="0.25">
      <c r="B52" s="87" t="s">
        <v>54</v>
      </c>
    </row>
    <row r="53" spans="2:15" s="52" customFormat="1" x14ac:dyDescent="0.25">
      <c r="B53" s="88" t="s">
        <v>55</v>
      </c>
    </row>
    <row r="54" spans="2:15" s="52" customFormat="1" x14ac:dyDescent="0.25">
      <c r="B54" s="88" t="s">
        <v>56</v>
      </c>
    </row>
    <row r="55" spans="2:15" s="52" customFormat="1" x14ac:dyDescent="0.25">
      <c r="B55" s="88" t="s">
        <v>129</v>
      </c>
      <c r="K55" s="89"/>
    </row>
    <row r="56" spans="2:15" s="52" customFormat="1" x14ac:dyDescent="0.25">
      <c r="B56" s="88" t="s">
        <v>130</v>
      </c>
    </row>
    <row r="57" spans="2:15" s="52" customFormat="1" x14ac:dyDescent="0.25">
      <c r="B57" s="88"/>
      <c r="O57" s="61"/>
    </row>
    <row r="58" spans="2:15" s="52" customFormat="1" x14ac:dyDescent="0.25">
      <c r="B58" s="88"/>
      <c r="O58" s="61"/>
    </row>
    <row r="59" spans="2:15" s="52" customFormat="1" x14ac:dyDescent="0.25">
      <c r="B59" s="88"/>
      <c r="O59" s="61"/>
    </row>
    <row r="60" spans="2:15" s="52" customFormat="1" x14ac:dyDescent="0.25">
      <c r="B60" s="88"/>
      <c r="N60" s="90">
        <v>0.05</v>
      </c>
      <c r="O60" s="61"/>
    </row>
    <row r="61" spans="2:15" s="52" customFormat="1" x14ac:dyDescent="0.25">
      <c r="B61" s="88"/>
      <c r="O61" s="61"/>
    </row>
    <row r="62" spans="2:15" s="52" customFormat="1" x14ac:dyDescent="0.25">
      <c r="B62" s="88"/>
    </row>
    <row r="63" spans="2:15" s="52" customFormat="1" x14ac:dyDescent="0.25">
      <c r="B63" s="88"/>
    </row>
    <row r="64" spans="2:15" s="52" customFormat="1" x14ac:dyDescent="0.25">
      <c r="B64" s="88"/>
    </row>
    <row r="65" spans="2:14" s="52" customFormat="1" x14ac:dyDescent="0.25">
      <c r="B65" s="88"/>
    </row>
    <row r="66" spans="2:14" s="52" customFormat="1" x14ac:dyDescent="0.25">
      <c r="B66" s="88"/>
    </row>
    <row r="67" spans="2:14" s="52" customFormat="1" x14ac:dyDescent="0.25">
      <c r="B67" s="88"/>
    </row>
    <row r="68" spans="2:14" s="52" customFormat="1" x14ac:dyDescent="0.25"/>
    <row r="69" spans="2:14" s="52" customFormat="1" x14ac:dyDescent="0.25">
      <c r="F69" s="78"/>
      <c r="G69" s="78"/>
      <c r="H69" s="78"/>
      <c r="I69" s="78"/>
    </row>
    <row r="70" spans="2:14" s="52" customFormat="1" x14ac:dyDescent="0.25">
      <c r="F70" s="78"/>
      <c r="G70" s="78"/>
      <c r="H70" s="78"/>
      <c r="I70" s="78"/>
      <c r="J70" s="78"/>
    </row>
    <row r="71" spans="2:14" s="92" customFormat="1" x14ac:dyDescent="0.25">
      <c r="B71" s="52"/>
      <c r="C71" s="52"/>
      <c r="D71" s="52"/>
      <c r="E71" s="52"/>
      <c r="F71" s="78"/>
      <c r="G71" s="78"/>
      <c r="H71" s="78"/>
      <c r="I71" s="78"/>
      <c r="J71" s="78"/>
      <c r="K71" s="78"/>
      <c r="M71" s="78"/>
      <c r="N71" s="78"/>
    </row>
    <row r="72" spans="2:14" s="92" customFormat="1" x14ac:dyDescent="0.25">
      <c r="B72" s="52"/>
      <c r="C72" s="52"/>
      <c r="D72" s="52"/>
      <c r="E72" s="52"/>
      <c r="F72" s="78"/>
      <c r="G72" s="78"/>
      <c r="H72" s="78"/>
      <c r="I72" s="78"/>
      <c r="J72" s="78"/>
      <c r="K72" s="78"/>
      <c r="M72" s="78"/>
      <c r="N72" s="78"/>
    </row>
    <row r="73" spans="2:14" s="92" customFormat="1" x14ac:dyDescent="0.25">
      <c r="B73" s="52"/>
      <c r="C73" s="52"/>
      <c r="D73" s="52"/>
      <c r="E73" s="52"/>
      <c r="F73" s="78"/>
      <c r="G73" s="78"/>
      <c r="H73" s="78"/>
      <c r="I73" s="78"/>
      <c r="J73" s="78"/>
      <c r="K73" s="78"/>
      <c r="M73" s="78"/>
      <c r="N73" s="78"/>
    </row>
    <row r="74" spans="2:14" s="92" customFormat="1" x14ac:dyDescent="0.25">
      <c r="B74" s="52"/>
      <c r="C74" s="52"/>
      <c r="D74" s="52"/>
      <c r="E74" s="52"/>
      <c r="F74" s="78"/>
      <c r="G74" s="78"/>
      <c r="H74" s="78"/>
      <c r="I74" s="78"/>
      <c r="J74" s="78"/>
      <c r="K74" s="78"/>
      <c r="M74" s="78"/>
      <c r="N74" s="78"/>
    </row>
    <row r="75" spans="2:14" s="92" customFormat="1" x14ac:dyDescent="0.25">
      <c r="B75" s="52"/>
      <c r="C75" s="52"/>
      <c r="D75" s="52"/>
      <c r="E75" s="52"/>
      <c r="F75" s="78"/>
      <c r="G75" s="78"/>
      <c r="H75" s="78"/>
      <c r="I75" s="78"/>
      <c r="J75" s="78"/>
      <c r="K75" s="78"/>
      <c r="M75" s="78"/>
      <c r="N75" s="78"/>
    </row>
    <row r="76" spans="2:14" s="92" customFormat="1" x14ac:dyDescent="0.25">
      <c r="B76" s="52"/>
      <c r="C76" s="52"/>
      <c r="D76" s="52"/>
      <c r="E76" s="52"/>
      <c r="F76" s="78"/>
      <c r="G76" s="78"/>
      <c r="H76" s="78"/>
      <c r="I76" s="78"/>
      <c r="J76" s="78"/>
      <c r="K76" s="78"/>
      <c r="M76" s="78"/>
      <c r="N76" s="78"/>
    </row>
    <row r="77" spans="2:14" s="92" customFormat="1" x14ac:dyDescent="0.25">
      <c r="B77" s="52"/>
      <c r="C77" s="52"/>
      <c r="D77" s="52"/>
      <c r="E77" s="52"/>
      <c r="F77" s="78"/>
      <c r="G77" s="78"/>
      <c r="H77" s="78"/>
      <c r="I77" s="78"/>
      <c r="J77" s="78"/>
      <c r="K77" s="78"/>
      <c r="M77" s="78"/>
      <c r="N77" s="78"/>
    </row>
    <row r="78" spans="2:14" s="92" customFormat="1" x14ac:dyDescent="0.25">
      <c r="B78" s="52"/>
      <c r="C78" s="52"/>
      <c r="D78" s="52"/>
      <c r="E78" s="52"/>
      <c r="F78" s="78"/>
      <c r="G78" s="78"/>
      <c r="H78" s="78"/>
      <c r="I78" s="78"/>
      <c r="J78" s="78"/>
      <c r="K78" s="78"/>
      <c r="M78" s="78"/>
      <c r="N78" s="78"/>
    </row>
    <row r="79" spans="2:14" s="92" customFormat="1" x14ac:dyDescent="0.25">
      <c r="B79" s="52"/>
      <c r="C79" s="52"/>
      <c r="D79" s="52"/>
      <c r="E79" s="52"/>
      <c r="F79" s="78"/>
      <c r="G79" s="78"/>
      <c r="H79" s="78"/>
      <c r="I79" s="78"/>
      <c r="J79" s="78"/>
      <c r="K79" s="78"/>
      <c r="M79" s="78"/>
      <c r="N79" s="78"/>
    </row>
    <row r="80" spans="2:14" s="92" customFormat="1" x14ac:dyDescent="0.25">
      <c r="B80" s="52"/>
      <c r="C80" s="52"/>
      <c r="D80" s="52"/>
      <c r="E80" s="52"/>
      <c r="F80" s="78"/>
      <c r="G80" s="78"/>
      <c r="H80" s="78"/>
      <c r="I80" s="78"/>
      <c r="J80" s="78"/>
      <c r="K80" s="78"/>
      <c r="M80" s="78"/>
      <c r="N80" s="78"/>
    </row>
    <row r="81" s="52" customFormat="1" x14ac:dyDescent="0.25"/>
    <row r="82" s="52" customFormat="1" x14ac:dyDescent="0.25"/>
    <row r="83" s="52" customFormat="1" x14ac:dyDescent="0.25"/>
    <row r="84" s="52" customFormat="1" x14ac:dyDescent="0.25"/>
    <row r="85" s="52" customFormat="1" x14ac:dyDescent="0.25"/>
    <row r="86" s="52" customFormat="1" x14ac:dyDescent="0.25"/>
    <row r="87" s="52" customFormat="1" x14ac:dyDescent="0.25"/>
    <row r="88" s="52" customFormat="1" x14ac:dyDescent="0.25"/>
    <row r="89" s="52" customFormat="1" x14ac:dyDescent="0.25"/>
    <row r="90" s="52" customFormat="1" x14ac:dyDescent="0.25"/>
    <row r="91" s="52" customFormat="1" x14ac:dyDescent="0.25"/>
    <row r="92" s="52" customFormat="1" x14ac:dyDescent="0.25"/>
    <row r="93" s="52" customFormat="1" x14ac:dyDescent="0.25"/>
    <row r="94" s="52" customFormat="1" x14ac:dyDescent="0.25"/>
    <row r="95" s="52" customFormat="1" x14ac:dyDescent="0.25"/>
    <row r="96" s="52" customFormat="1" x14ac:dyDescent="0.25"/>
    <row r="97" s="52" customFormat="1" x14ac:dyDescent="0.25"/>
    <row r="98" s="52" customFormat="1" x14ac:dyDescent="0.25"/>
    <row r="99" s="52" customFormat="1" x14ac:dyDescent="0.25"/>
    <row r="100" s="52" customFormat="1" x14ac:dyDescent="0.25"/>
    <row r="101" s="52" customFormat="1" x14ac:dyDescent="0.25"/>
    <row r="102" s="52" customFormat="1" x14ac:dyDescent="0.25"/>
    <row r="103" s="52" customFormat="1" x14ac:dyDescent="0.25"/>
    <row r="104" s="52" customFormat="1" x14ac:dyDescent="0.25"/>
    <row r="105" s="52" customFormat="1" x14ac:dyDescent="0.25"/>
    <row r="106" s="52" customFormat="1" x14ac:dyDescent="0.25"/>
    <row r="107" s="52" customFormat="1" x14ac:dyDescent="0.25"/>
    <row r="108" s="52" customFormat="1" x14ac:dyDescent="0.25"/>
    <row r="109" s="52" customFormat="1" x14ac:dyDescent="0.25"/>
    <row r="110" s="52" customFormat="1" x14ac:dyDescent="0.25"/>
    <row r="111" s="52" customFormat="1" x14ac:dyDescent="0.25"/>
    <row r="112" s="52" customFormat="1" x14ac:dyDescent="0.25"/>
    <row r="113" s="52" customFormat="1" x14ac:dyDescent="0.25"/>
    <row r="114" s="52" customFormat="1" x14ac:dyDescent="0.25"/>
    <row r="115" s="52" customFormat="1" x14ac:dyDescent="0.25"/>
    <row r="116" s="52" customFormat="1" x14ac:dyDescent="0.25"/>
    <row r="117" s="52" customFormat="1" x14ac:dyDescent="0.25"/>
    <row r="118" s="52" customFormat="1" x14ac:dyDescent="0.25"/>
    <row r="119" s="52" customFormat="1" x14ac:dyDescent="0.25"/>
    <row r="120" s="52" customFormat="1" x14ac:dyDescent="0.25"/>
    <row r="121" s="52" customFormat="1" x14ac:dyDescent="0.25"/>
    <row r="122" s="52" customFormat="1" x14ac:dyDescent="0.25"/>
    <row r="123" s="52" customFormat="1" x14ac:dyDescent="0.25"/>
    <row r="124" s="52" customFormat="1" x14ac:dyDescent="0.25"/>
    <row r="125" s="52" customFormat="1" x14ac:dyDescent="0.25"/>
    <row r="126" s="52" customFormat="1" x14ac:dyDescent="0.25"/>
    <row r="127" s="52" customFormat="1" x14ac:dyDescent="0.25"/>
    <row r="128" s="52" customFormat="1" x14ac:dyDescent="0.25"/>
    <row r="129" s="52" customFormat="1" x14ac:dyDescent="0.25"/>
    <row r="130" s="52" customFormat="1" x14ac:dyDescent="0.25"/>
    <row r="131" s="52" customFormat="1" x14ac:dyDescent="0.25"/>
    <row r="132" s="52" customFormat="1" x14ac:dyDescent="0.25"/>
    <row r="133" s="52" customFormat="1" x14ac:dyDescent="0.25"/>
    <row r="134" s="52" customFormat="1" x14ac:dyDescent="0.25"/>
    <row r="135" s="52" customFormat="1" x14ac:dyDescent="0.25"/>
    <row r="136" s="52" customFormat="1" x14ac:dyDescent="0.25"/>
    <row r="137" s="52" customFormat="1" x14ac:dyDescent="0.25"/>
    <row r="138" s="52" customFormat="1" x14ac:dyDescent="0.25"/>
    <row r="139" s="52" customFormat="1" x14ac:dyDescent="0.25"/>
    <row r="140" s="52" customFormat="1" x14ac:dyDescent="0.25"/>
    <row r="141" s="52" customFormat="1" x14ac:dyDescent="0.25"/>
    <row r="142" s="52" customFormat="1" x14ac:dyDescent="0.25"/>
    <row r="143" s="52" customFormat="1" x14ac:dyDescent="0.25"/>
    <row r="144" s="52" customFormat="1" x14ac:dyDescent="0.25"/>
    <row r="145" s="52" customFormat="1" x14ac:dyDescent="0.25"/>
    <row r="146" s="52" customFormat="1" x14ac:dyDescent="0.25"/>
    <row r="147" s="52" customFormat="1" x14ac:dyDescent="0.25"/>
    <row r="148" s="52" customFormat="1" x14ac:dyDescent="0.25"/>
    <row r="149" s="52" customFormat="1" x14ac:dyDescent="0.25"/>
    <row r="150" s="52" customFormat="1" x14ac:dyDescent="0.25"/>
    <row r="151" s="52" customFormat="1" x14ac:dyDescent="0.25"/>
    <row r="152" s="52" customFormat="1" x14ac:dyDescent="0.25"/>
    <row r="153" s="52" customFormat="1" x14ac:dyDescent="0.25"/>
    <row r="154" s="52" customFormat="1" x14ac:dyDescent="0.25"/>
    <row r="155" s="52" customFormat="1" x14ac:dyDescent="0.25"/>
    <row r="156" s="52" customFormat="1" x14ac:dyDescent="0.25"/>
    <row r="157" s="52" customFormat="1" x14ac:dyDescent="0.25"/>
    <row r="158" s="52" customFormat="1" x14ac:dyDescent="0.25"/>
    <row r="159" s="52" customFormat="1" x14ac:dyDescent="0.25"/>
    <row r="160" s="52" customFormat="1" x14ac:dyDescent="0.25"/>
    <row r="161" s="52" customFormat="1" x14ac:dyDescent="0.25"/>
    <row r="162" s="52" customFormat="1" x14ac:dyDescent="0.25"/>
    <row r="163" s="52" customFormat="1" x14ac:dyDescent="0.25"/>
    <row r="164" s="52" customFormat="1" x14ac:dyDescent="0.25"/>
    <row r="165" s="52" customFormat="1" x14ac:dyDescent="0.25"/>
    <row r="166" s="52" customFormat="1" x14ac:dyDescent="0.25"/>
    <row r="167" s="52" customFormat="1" x14ac:dyDescent="0.25"/>
    <row r="168" s="52" customFormat="1" x14ac:dyDescent="0.25"/>
    <row r="169" s="52" customFormat="1" x14ac:dyDescent="0.25"/>
    <row r="170" s="52" customFormat="1" x14ac:dyDescent="0.25"/>
    <row r="171" s="52" customFormat="1" x14ac:dyDescent="0.25"/>
    <row r="172" s="52" customFormat="1" x14ac:dyDescent="0.25"/>
    <row r="173" s="52" customFormat="1" x14ac:dyDescent="0.25"/>
    <row r="174" s="52" customFormat="1" x14ac:dyDescent="0.25"/>
    <row r="175" s="52" customFormat="1" x14ac:dyDescent="0.25"/>
    <row r="176" s="52" customFormat="1" x14ac:dyDescent="0.25"/>
    <row r="177" s="52" customFormat="1" x14ac:dyDescent="0.25"/>
    <row r="178" s="52" customFormat="1" x14ac:dyDescent="0.25"/>
    <row r="179" s="52" customFormat="1" x14ac:dyDescent="0.25"/>
    <row r="180" s="52" customFormat="1" x14ac:dyDescent="0.25"/>
    <row r="181" s="52" customFormat="1" x14ac:dyDescent="0.25"/>
    <row r="182" s="52" customFormat="1" x14ac:dyDescent="0.25"/>
    <row r="183" s="52" customFormat="1" x14ac:dyDescent="0.25"/>
    <row r="184" s="52" customFormat="1" x14ac:dyDescent="0.25"/>
    <row r="185" s="52" customFormat="1" x14ac:dyDescent="0.25"/>
    <row r="186" s="52" customFormat="1" x14ac:dyDescent="0.25"/>
    <row r="187" s="52" customFormat="1" x14ac:dyDescent="0.25"/>
    <row r="188" s="52" customFormat="1" x14ac:dyDescent="0.25"/>
    <row r="189" s="52" customFormat="1" x14ac:dyDescent="0.25"/>
    <row r="190" s="52" customFormat="1" x14ac:dyDescent="0.25"/>
    <row r="191" s="52" customFormat="1" x14ac:dyDescent="0.25"/>
    <row r="192" s="52" customFormat="1" x14ac:dyDescent="0.25"/>
    <row r="193" s="52" customFormat="1" x14ac:dyDescent="0.25"/>
    <row r="194" s="52" customFormat="1" x14ac:dyDescent="0.25"/>
    <row r="195" s="52" customFormat="1" x14ac:dyDescent="0.25"/>
    <row r="196" s="52" customFormat="1" x14ac:dyDescent="0.25"/>
    <row r="197" s="52" customFormat="1" x14ac:dyDescent="0.25"/>
    <row r="198" s="52" customFormat="1" x14ac:dyDescent="0.25"/>
    <row r="199" s="52" customFormat="1" x14ac:dyDescent="0.25"/>
    <row r="200" s="52" customFormat="1" x14ac:dyDescent="0.25"/>
    <row r="201" s="52" customFormat="1" x14ac:dyDescent="0.25"/>
    <row r="202" s="52" customFormat="1" x14ac:dyDescent="0.25"/>
    <row r="203" s="52" customFormat="1" x14ac:dyDescent="0.25"/>
    <row r="204" s="52" customFormat="1" x14ac:dyDescent="0.25"/>
    <row r="205" s="52" customFormat="1" x14ac:dyDescent="0.25"/>
    <row r="206" s="52" customFormat="1" x14ac:dyDescent="0.25"/>
    <row r="207" s="52" customFormat="1" x14ac:dyDescent="0.25"/>
    <row r="208" s="52" customFormat="1" x14ac:dyDescent="0.25"/>
    <row r="209" s="52" customFormat="1" x14ac:dyDescent="0.25"/>
    <row r="210" s="52" customFormat="1" x14ac:dyDescent="0.25"/>
    <row r="211" s="52" customFormat="1" x14ac:dyDescent="0.25"/>
    <row r="212" s="52" customFormat="1" x14ac:dyDescent="0.25"/>
    <row r="213" s="52" customFormat="1" x14ac:dyDescent="0.25"/>
    <row r="214" s="52" customFormat="1" x14ac:dyDescent="0.25"/>
    <row r="215" s="52" customFormat="1" x14ac:dyDescent="0.25"/>
    <row r="216" s="52" customFormat="1" x14ac:dyDescent="0.25"/>
    <row r="217" s="52" customFormat="1" x14ac:dyDescent="0.25"/>
    <row r="218" s="52" customFormat="1" x14ac:dyDescent="0.25"/>
    <row r="219" s="52" customFormat="1" x14ac:dyDescent="0.25"/>
    <row r="220" s="52" customFormat="1" x14ac:dyDescent="0.25"/>
    <row r="221" s="52" customFormat="1" x14ac:dyDescent="0.25"/>
    <row r="222" s="52" customFormat="1" x14ac:dyDescent="0.25"/>
    <row r="223" s="52" customFormat="1" x14ac:dyDescent="0.25"/>
    <row r="224" s="52" customFormat="1" x14ac:dyDescent="0.25"/>
    <row r="225" s="52" customFormat="1" x14ac:dyDescent="0.25"/>
    <row r="226" s="52" customFormat="1" x14ac:dyDescent="0.25"/>
    <row r="227" s="52" customFormat="1" x14ac:dyDescent="0.25"/>
    <row r="228" s="52" customFormat="1" x14ac:dyDescent="0.25"/>
    <row r="229" s="52" customFormat="1" x14ac:dyDescent="0.25"/>
    <row r="230" s="52" customFormat="1" x14ac:dyDescent="0.25"/>
    <row r="231" s="52" customFormat="1" x14ac:dyDescent="0.25"/>
    <row r="232" s="52" customFormat="1" x14ac:dyDescent="0.25"/>
    <row r="233" s="52" customFormat="1" x14ac:dyDescent="0.25"/>
    <row r="234" s="52" customFormat="1" x14ac:dyDescent="0.25"/>
    <row r="235" s="52" customFormat="1" x14ac:dyDescent="0.25"/>
    <row r="236" s="52" customFormat="1" x14ac:dyDescent="0.25"/>
    <row r="237" s="52" customFormat="1" x14ac:dyDescent="0.25"/>
    <row r="238" s="52" customFormat="1" x14ac:dyDescent="0.25"/>
    <row r="239" s="52" customFormat="1" x14ac:dyDescent="0.25"/>
    <row r="240" s="52" customFormat="1" x14ac:dyDescent="0.25"/>
    <row r="241" s="52" customFormat="1" x14ac:dyDescent="0.25"/>
    <row r="242" s="52" customFormat="1" x14ac:dyDescent="0.25"/>
    <row r="243" s="52" customFormat="1" x14ac:dyDescent="0.25"/>
    <row r="244" s="52" customFormat="1" x14ac:dyDescent="0.25"/>
    <row r="245" s="52" customFormat="1" x14ac:dyDescent="0.25"/>
    <row r="246" s="52" customFormat="1" x14ac:dyDescent="0.25"/>
    <row r="247" s="52" customFormat="1" x14ac:dyDescent="0.25"/>
    <row r="248" s="52" customFormat="1" x14ac:dyDescent="0.25"/>
    <row r="249" s="52" customFormat="1" x14ac:dyDescent="0.25"/>
    <row r="250" s="52" customFormat="1" x14ac:dyDescent="0.25"/>
    <row r="251" s="52" customFormat="1" x14ac:dyDescent="0.25"/>
    <row r="252" s="52" customFormat="1" x14ac:dyDescent="0.25"/>
    <row r="253" s="52" customFormat="1" x14ac:dyDescent="0.25"/>
    <row r="254" s="52" customFormat="1" x14ac:dyDescent="0.25"/>
    <row r="255" s="52" customFormat="1" x14ac:dyDescent="0.25"/>
    <row r="256" s="52" customFormat="1" x14ac:dyDescent="0.25"/>
    <row r="257" s="52" customFormat="1" x14ac:dyDescent="0.25"/>
    <row r="258" s="52" customFormat="1" x14ac:dyDescent="0.25"/>
    <row r="259" s="52" customFormat="1" x14ac:dyDescent="0.25"/>
    <row r="260" s="52" customFormat="1" x14ac:dyDescent="0.25"/>
    <row r="261" s="52" customFormat="1" x14ac:dyDescent="0.25"/>
    <row r="262" s="52" customFormat="1" x14ac:dyDescent="0.25"/>
    <row r="263" s="52" customFormat="1" x14ac:dyDescent="0.25"/>
    <row r="264" s="52" customFormat="1" x14ac:dyDescent="0.25"/>
    <row r="265" s="52" customFormat="1" x14ac:dyDescent="0.25"/>
    <row r="266" s="52" customFormat="1" x14ac:dyDescent="0.25"/>
    <row r="267" s="52" customFormat="1" x14ac:dyDescent="0.25"/>
    <row r="268" s="52" customFormat="1" x14ac:dyDescent="0.25"/>
    <row r="269" s="52" customFormat="1" x14ac:dyDescent="0.25"/>
    <row r="270" s="52" customFormat="1" x14ac:dyDescent="0.25"/>
    <row r="271" s="52" customFormat="1" x14ac:dyDescent="0.25"/>
    <row r="272" s="52" customFormat="1" x14ac:dyDescent="0.25"/>
    <row r="273" s="52" customFormat="1" x14ac:dyDescent="0.25"/>
    <row r="274" s="52" customFormat="1" x14ac:dyDescent="0.25"/>
    <row r="275" s="52" customFormat="1" x14ac:dyDescent="0.25"/>
    <row r="276" s="52" customFormat="1" x14ac:dyDescent="0.25"/>
    <row r="277" s="52" customFormat="1" x14ac:dyDescent="0.25"/>
    <row r="278" s="52" customFormat="1" x14ac:dyDescent="0.25"/>
    <row r="279" s="52" customFormat="1" x14ac:dyDescent="0.25"/>
    <row r="280" s="52" customFormat="1" x14ac:dyDescent="0.25"/>
    <row r="281" s="52" customFormat="1" x14ac:dyDescent="0.25"/>
    <row r="282" s="52" customFormat="1" x14ac:dyDescent="0.25"/>
    <row r="283" s="52" customFormat="1" x14ac:dyDescent="0.25"/>
    <row r="284" s="52" customFormat="1" x14ac:dyDescent="0.25"/>
    <row r="285" s="52" customFormat="1" x14ac:dyDescent="0.25"/>
    <row r="286" s="52" customFormat="1" x14ac:dyDescent="0.25"/>
    <row r="287" s="52" customFormat="1" x14ac:dyDescent="0.25"/>
    <row r="288" s="52" customFormat="1" x14ac:dyDescent="0.25"/>
    <row r="289" s="52" customFormat="1" x14ac:dyDescent="0.25"/>
    <row r="290" s="52" customFormat="1" x14ac:dyDescent="0.25"/>
    <row r="291" s="52" customFormat="1" x14ac:dyDescent="0.25"/>
    <row r="292" s="52" customFormat="1" x14ac:dyDescent="0.25"/>
    <row r="293" s="52" customFormat="1" x14ac:dyDescent="0.25"/>
    <row r="294" s="52" customFormat="1" x14ac:dyDescent="0.25"/>
    <row r="295" s="52" customFormat="1" x14ac:dyDescent="0.25"/>
    <row r="296" s="52" customFormat="1" x14ac:dyDescent="0.25"/>
    <row r="297" s="52" customFormat="1" x14ac:dyDescent="0.25"/>
    <row r="298" s="52" customFormat="1" x14ac:dyDescent="0.25"/>
    <row r="299" s="52" customFormat="1" x14ac:dyDescent="0.25"/>
    <row r="300" s="52" customFormat="1" x14ac:dyDescent="0.25"/>
    <row r="301" s="52" customFormat="1" x14ac:dyDescent="0.25"/>
    <row r="302" s="52" customFormat="1" x14ac:dyDescent="0.25"/>
    <row r="303" s="52" customFormat="1" x14ac:dyDescent="0.25"/>
    <row r="304" s="52" customFormat="1" x14ac:dyDescent="0.25"/>
    <row r="305" s="52" customFormat="1" x14ac:dyDescent="0.25"/>
    <row r="306" s="52" customFormat="1" x14ac:dyDescent="0.25"/>
    <row r="307" s="52" customFormat="1" x14ac:dyDescent="0.25"/>
    <row r="308" s="52" customFormat="1" x14ac:dyDescent="0.25"/>
    <row r="309" s="52" customFormat="1" x14ac:dyDescent="0.25"/>
    <row r="310" s="52" customFormat="1" x14ac:dyDescent="0.25"/>
    <row r="311" s="52" customFormat="1" x14ac:dyDescent="0.25"/>
    <row r="312" s="52" customFormat="1" x14ac:dyDescent="0.25"/>
    <row r="313" s="52" customFormat="1" x14ac:dyDescent="0.25"/>
    <row r="314" s="52" customFormat="1" x14ac:dyDescent="0.25"/>
    <row r="315" s="52" customFormat="1" x14ac:dyDescent="0.25"/>
    <row r="316" s="52" customFormat="1" x14ac:dyDescent="0.25"/>
    <row r="317" s="52" customFormat="1" x14ac:dyDescent="0.25"/>
    <row r="318" s="52" customFormat="1" x14ac:dyDescent="0.25"/>
    <row r="319" s="52" customFormat="1" x14ac:dyDescent="0.25"/>
    <row r="320" s="52" customFormat="1" x14ac:dyDescent="0.25"/>
    <row r="321" s="52" customFormat="1" x14ac:dyDescent="0.25"/>
    <row r="322" s="52" customFormat="1" x14ac:dyDescent="0.25"/>
    <row r="323" s="52" customFormat="1" x14ac:dyDescent="0.25"/>
    <row r="324" s="52" customFormat="1" x14ac:dyDescent="0.25"/>
    <row r="325" s="52" customFormat="1" x14ac:dyDescent="0.25"/>
    <row r="326" s="52" customFormat="1" x14ac:dyDescent="0.25"/>
    <row r="327" s="52" customFormat="1" x14ac:dyDescent="0.25"/>
    <row r="328" s="52" customFormat="1" x14ac:dyDescent="0.25"/>
    <row r="329" s="52" customFormat="1" x14ac:dyDescent="0.25"/>
    <row r="330" s="52" customFormat="1" x14ac:dyDescent="0.25"/>
    <row r="331" s="52" customFormat="1" x14ac:dyDescent="0.25"/>
    <row r="332" s="52" customFormat="1" x14ac:dyDescent="0.25"/>
    <row r="333" s="52" customFormat="1" x14ac:dyDescent="0.25"/>
    <row r="334" s="52" customFormat="1" x14ac:dyDescent="0.25"/>
    <row r="335" s="52" customFormat="1" x14ac:dyDescent="0.25"/>
    <row r="336" s="52" customFormat="1" x14ac:dyDescent="0.25"/>
    <row r="337" s="52" customFormat="1" x14ac:dyDescent="0.25"/>
    <row r="338" s="52" customFormat="1" x14ac:dyDescent="0.25"/>
    <row r="339" s="52" customFormat="1" x14ac:dyDescent="0.25"/>
    <row r="340" s="52" customFormat="1" x14ac:dyDescent="0.25"/>
    <row r="341" s="52" customFormat="1" x14ac:dyDescent="0.25"/>
    <row r="342" s="52" customFormat="1" x14ac:dyDescent="0.25"/>
    <row r="343" s="52" customFormat="1" x14ac:dyDescent="0.25"/>
    <row r="344" s="52" customFormat="1" x14ac:dyDescent="0.25"/>
    <row r="345" s="52" customFormat="1" x14ac:dyDescent="0.25"/>
    <row r="346" s="52" customFormat="1" x14ac:dyDescent="0.25"/>
    <row r="347" s="52" customFormat="1" x14ac:dyDescent="0.25"/>
    <row r="348" s="52" customFormat="1" x14ac:dyDescent="0.25"/>
    <row r="349" s="52" customFormat="1" x14ac:dyDescent="0.25"/>
    <row r="350" s="52" customFormat="1" x14ac:dyDescent="0.25"/>
    <row r="351" s="52" customFormat="1" x14ac:dyDescent="0.25"/>
    <row r="352" s="52" customFormat="1" x14ac:dyDescent="0.25"/>
    <row r="353" s="52" customFormat="1" x14ac:dyDescent="0.25"/>
    <row r="354" s="52" customFormat="1" x14ac:dyDescent="0.25"/>
    <row r="355" s="52" customFormat="1" x14ac:dyDescent="0.25"/>
    <row r="356" s="52" customFormat="1" x14ac:dyDescent="0.25"/>
    <row r="357" s="52" customFormat="1" x14ac:dyDescent="0.25"/>
    <row r="358" s="52" customFormat="1" x14ac:dyDescent="0.25"/>
    <row r="359" s="52" customFormat="1" x14ac:dyDescent="0.25"/>
    <row r="360" s="52" customFormat="1" x14ac:dyDescent="0.25"/>
    <row r="361" s="52" customFormat="1" x14ac:dyDescent="0.25"/>
    <row r="362" s="52" customFormat="1" x14ac:dyDescent="0.25"/>
    <row r="363" s="52" customFormat="1" x14ac:dyDescent="0.25"/>
    <row r="364" s="52" customFormat="1" x14ac:dyDescent="0.25"/>
    <row r="365" s="52" customFormat="1" x14ac:dyDescent="0.25"/>
    <row r="366" s="52" customFormat="1" x14ac:dyDescent="0.25"/>
    <row r="367" s="52" customFormat="1" x14ac:dyDescent="0.25"/>
    <row r="368" s="52" customFormat="1" x14ac:dyDescent="0.25"/>
    <row r="369" s="52" customFormat="1" x14ac:dyDescent="0.25"/>
    <row r="370" s="52" customFormat="1" x14ac:dyDescent="0.25"/>
    <row r="371" s="52" customFormat="1" x14ac:dyDescent="0.25"/>
    <row r="372" s="52" customFormat="1" x14ac:dyDescent="0.25"/>
    <row r="373" s="52" customFormat="1" x14ac:dyDescent="0.25"/>
    <row r="374" s="52" customFormat="1" x14ac:dyDescent="0.25"/>
    <row r="375" s="52" customFormat="1" x14ac:dyDescent="0.25"/>
    <row r="376" s="52" customFormat="1" x14ac:dyDescent="0.25"/>
    <row r="377" s="52" customFormat="1" x14ac:dyDescent="0.25"/>
    <row r="378" s="52" customFormat="1" x14ac:dyDescent="0.25"/>
    <row r="379" s="52" customFormat="1" x14ac:dyDescent="0.25"/>
    <row r="380" s="52" customFormat="1" x14ac:dyDescent="0.25"/>
    <row r="381" s="52" customFormat="1" x14ac:dyDescent="0.25"/>
    <row r="382" s="52" customFormat="1" x14ac:dyDescent="0.25"/>
    <row r="383" s="52" customFormat="1" x14ac:dyDescent="0.25"/>
    <row r="384" s="52" customFormat="1" x14ac:dyDescent="0.25"/>
    <row r="385" s="52" customFormat="1" x14ac:dyDescent="0.25"/>
    <row r="386" s="52" customFormat="1" x14ac:dyDescent="0.25"/>
    <row r="387" s="52" customFormat="1" x14ac:dyDescent="0.25"/>
    <row r="388" s="52" customFormat="1" x14ac:dyDescent="0.25"/>
    <row r="389" s="52" customFormat="1" x14ac:dyDescent="0.25"/>
    <row r="390" s="52" customFormat="1" x14ac:dyDescent="0.25"/>
    <row r="391" s="52" customFormat="1" x14ac:dyDescent="0.25"/>
    <row r="392" s="52" customFormat="1" x14ac:dyDescent="0.25"/>
    <row r="393" s="52" customFormat="1" x14ac:dyDescent="0.25"/>
    <row r="394" s="52" customFormat="1" x14ac:dyDescent="0.25"/>
    <row r="395" s="52" customFormat="1" x14ac:dyDescent="0.25"/>
    <row r="396" s="52" customFormat="1" x14ac:dyDescent="0.25"/>
    <row r="397" s="52" customFormat="1" x14ac:dyDescent="0.25"/>
    <row r="398" s="52" customFormat="1" x14ac:dyDescent="0.25"/>
    <row r="399" s="52" customFormat="1" x14ac:dyDescent="0.25"/>
    <row r="400" s="52" customFormat="1" x14ac:dyDescent="0.25"/>
    <row r="401" s="52" customFormat="1" x14ac:dyDescent="0.25"/>
    <row r="402" s="52" customFormat="1" x14ac:dyDescent="0.25"/>
    <row r="403" s="52" customFormat="1" x14ac:dyDescent="0.25"/>
    <row r="404" s="52" customFormat="1" x14ac:dyDescent="0.25"/>
    <row r="405" s="52" customFormat="1" x14ac:dyDescent="0.25"/>
    <row r="406" s="52" customFormat="1" x14ac:dyDescent="0.25"/>
    <row r="407" s="52" customFormat="1" x14ac:dyDescent="0.25"/>
    <row r="408" s="52" customFormat="1" x14ac:dyDescent="0.25"/>
    <row r="409" s="52" customFormat="1" x14ac:dyDescent="0.25"/>
    <row r="410" s="52" customFormat="1" x14ac:dyDescent="0.25"/>
    <row r="411" s="52" customFormat="1" x14ac:dyDescent="0.25"/>
    <row r="412" s="52" customFormat="1" x14ac:dyDescent="0.25"/>
    <row r="413" s="52" customFormat="1" x14ac:dyDescent="0.25"/>
    <row r="414" s="52" customFormat="1" x14ac:dyDescent="0.25"/>
    <row r="415" s="52" customFormat="1" x14ac:dyDescent="0.25"/>
    <row r="416" s="52" customFormat="1" x14ac:dyDescent="0.25"/>
    <row r="417" s="52" customFormat="1" x14ac:dyDescent="0.25"/>
    <row r="418" s="52" customFormat="1" x14ac:dyDescent="0.25"/>
    <row r="419" s="52" customFormat="1" x14ac:dyDescent="0.25"/>
    <row r="420" s="52" customFormat="1" x14ac:dyDescent="0.25"/>
    <row r="421" s="52" customFormat="1" x14ac:dyDescent="0.25"/>
    <row r="422" s="52" customFormat="1" x14ac:dyDescent="0.25"/>
    <row r="423" s="52" customFormat="1" x14ac:dyDescent="0.25"/>
    <row r="424" s="52" customFormat="1" x14ac:dyDescent="0.25"/>
    <row r="425" s="52" customFormat="1" x14ac:dyDescent="0.25"/>
    <row r="426" s="52" customFormat="1" x14ac:dyDescent="0.25"/>
    <row r="427" s="52" customFormat="1" x14ac:dyDescent="0.25"/>
    <row r="428" s="52" customFormat="1" x14ac:dyDescent="0.25"/>
    <row r="429" s="52" customFormat="1" x14ac:dyDescent="0.25"/>
    <row r="430" s="52" customFormat="1" x14ac:dyDescent="0.25"/>
    <row r="431" s="52" customFormat="1" x14ac:dyDescent="0.25"/>
    <row r="432" s="52" customFormat="1" x14ac:dyDescent="0.25"/>
    <row r="433" s="52" customFormat="1" x14ac:dyDescent="0.25"/>
    <row r="434" s="52" customFormat="1" x14ac:dyDescent="0.25"/>
    <row r="435" s="52" customFormat="1" x14ac:dyDescent="0.25"/>
    <row r="436" s="52" customFormat="1" x14ac:dyDescent="0.25"/>
    <row r="437" s="52" customFormat="1" x14ac:dyDescent="0.25"/>
    <row r="438" s="52" customFormat="1" x14ac:dyDescent="0.25"/>
    <row r="439" s="52" customFormat="1" x14ac:dyDescent="0.25"/>
    <row r="440" s="52" customFormat="1" x14ac:dyDescent="0.25"/>
    <row r="441" s="52" customFormat="1" x14ac:dyDescent="0.25"/>
    <row r="442" s="52" customFormat="1" x14ac:dyDescent="0.25"/>
    <row r="443" s="52" customFormat="1" x14ac:dyDescent="0.25"/>
    <row r="444" s="52" customFormat="1" x14ac:dyDescent="0.25"/>
    <row r="445" s="52" customFormat="1" x14ac:dyDescent="0.25"/>
    <row r="446" s="52" customFormat="1" x14ac:dyDescent="0.25"/>
    <row r="447" s="52" customFormat="1" x14ac:dyDescent="0.25"/>
    <row r="448" s="52" customFormat="1" x14ac:dyDescent="0.25"/>
    <row r="449" s="52" customFormat="1" x14ac:dyDescent="0.25"/>
    <row r="450" s="52" customFormat="1" x14ac:dyDescent="0.25"/>
    <row r="451" s="52" customFormat="1" x14ac:dyDescent="0.25"/>
    <row r="452" s="52" customFormat="1" x14ac:dyDescent="0.25"/>
    <row r="453" s="52" customFormat="1" x14ac:dyDescent="0.25"/>
    <row r="454" s="52" customFormat="1" x14ac:dyDescent="0.25"/>
    <row r="455" s="52" customFormat="1" x14ac:dyDescent="0.25"/>
    <row r="456" s="52" customFormat="1" x14ac:dyDescent="0.25"/>
    <row r="457" s="52" customFormat="1" x14ac:dyDescent="0.25"/>
    <row r="458" s="52" customFormat="1" x14ac:dyDescent="0.25"/>
    <row r="459" s="52" customFormat="1" x14ac:dyDescent="0.25"/>
    <row r="460" s="52" customFormat="1" x14ac:dyDescent="0.25"/>
    <row r="461" s="52" customFormat="1" x14ac:dyDescent="0.25"/>
    <row r="462" s="52" customFormat="1" x14ac:dyDescent="0.25"/>
    <row r="463" s="52" customFormat="1" x14ac:dyDescent="0.25"/>
    <row r="464" s="52" customFormat="1" x14ac:dyDescent="0.25"/>
    <row r="465" s="52" customFormat="1" x14ac:dyDescent="0.25"/>
    <row r="466" s="52" customFormat="1" x14ac:dyDescent="0.25"/>
    <row r="467" s="52" customFormat="1" x14ac:dyDescent="0.25"/>
    <row r="468" s="52" customFormat="1" x14ac:dyDescent="0.25"/>
    <row r="469" s="52" customFormat="1" x14ac:dyDescent="0.25"/>
    <row r="470" s="52" customFormat="1" x14ac:dyDescent="0.25"/>
    <row r="471" s="52" customFormat="1" x14ac:dyDescent="0.25"/>
    <row r="472" s="52" customFormat="1" x14ac:dyDescent="0.25"/>
    <row r="473" s="52" customFormat="1" x14ac:dyDescent="0.25"/>
    <row r="474" s="52" customFormat="1" x14ac:dyDescent="0.25"/>
    <row r="475" s="52" customFormat="1" x14ac:dyDescent="0.25"/>
    <row r="476" s="52" customFormat="1" x14ac:dyDescent="0.25"/>
    <row r="477" s="52" customFormat="1" x14ac:dyDescent="0.25"/>
    <row r="478" s="52" customFormat="1" x14ac:dyDescent="0.25"/>
    <row r="479" s="52" customFormat="1" x14ac:dyDescent="0.25"/>
    <row r="480" s="52" customFormat="1" x14ac:dyDescent="0.25"/>
    <row r="481" s="52" customFormat="1" x14ac:dyDescent="0.25"/>
    <row r="482" s="52" customFormat="1" x14ac:dyDescent="0.25"/>
    <row r="483" s="52" customFormat="1" x14ac:dyDescent="0.25"/>
    <row r="484" s="52" customFormat="1" x14ac:dyDescent="0.25"/>
    <row r="485" s="52" customFormat="1" x14ac:dyDescent="0.25"/>
    <row r="486" s="52" customFormat="1" x14ac:dyDescent="0.25"/>
    <row r="487" s="52" customFormat="1" x14ac:dyDescent="0.25"/>
    <row r="488" s="52" customFormat="1" x14ac:dyDescent="0.25"/>
    <row r="489" s="52" customFormat="1" x14ac:dyDescent="0.25"/>
    <row r="490" s="52" customFormat="1" x14ac:dyDescent="0.25"/>
    <row r="491" s="52" customFormat="1" x14ac:dyDescent="0.25"/>
    <row r="492" s="52" customFormat="1" x14ac:dyDescent="0.25"/>
    <row r="493" s="52" customFormat="1" x14ac:dyDescent="0.25"/>
    <row r="494" s="52" customFormat="1" x14ac:dyDescent="0.25"/>
    <row r="495" s="52" customFormat="1" x14ac:dyDescent="0.25"/>
    <row r="496" s="52" customFormat="1" x14ac:dyDescent="0.25"/>
    <row r="497" s="52" customFormat="1" x14ac:dyDescent="0.25"/>
    <row r="498" s="52" customFormat="1" x14ac:dyDescent="0.25"/>
    <row r="499" s="52" customFormat="1" x14ac:dyDescent="0.25"/>
    <row r="500" s="52" customFormat="1" x14ac:dyDescent="0.25"/>
    <row r="501" s="52" customFormat="1" x14ac:dyDescent="0.25"/>
    <row r="502" s="52" customFormat="1" x14ac:dyDescent="0.25"/>
    <row r="503" s="52" customFormat="1" x14ac:dyDescent="0.25"/>
    <row r="504" s="52" customFormat="1" x14ac:dyDescent="0.25"/>
    <row r="505" s="52" customFormat="1" x14ac:dyDescent="0.25"/>
    <row r="506" s="52" customFormat="1" x14ac:dyDescent="0.25"/>
    <row r="507" s="52" customFormat="1" x14ac:dyDescent="0.25"/>
    <row r="508" s="52" customFormat="1" x14ac:dyDescent="0.25"/>
    <row r="509" s="52" customFormat="1" x14ac:dyDescent="0.25"/>
    <row r="510" s="52" customFormat="1" x14ac:dyDescent="0.25"/>
    <row r="511" s="52" customFormat="1" x14ac:dyDescent="0.25"/>
    <row r="512" s="52" customFormat="1" x14ac:dyDescent="0.25"/>
    <row r="513" s="52" customFormat="1" x14ac:dyDescent="0.25"/>
    <row r="514" s="52" customFormat="1" x14ac:dyDescent="0.25"/>
    <row r="515" s="52" customFormat="1" x14ac:dyDescent="0.25"/>
    <row r="516" s="52" customFormat="1" x14ac:dyDescent="0.25"/>
    <row r="517" s="52" customFormat="1" x14ac:dyDescent="0.25"/>
    <row r="518" s="52" customFormat="1" x14ac:dyDescent="0.25"/>
    <row r="519" s="52" customFormat="1" x14ac:dyDescent="0.25"/>
    <row r="520" s="52" customFormat="1" x14ac:dyDescent="0.25"/>
    <row r="521" s="52" customFormat="1" x14ac:dyDescent="0.25"/>
    <row r="522" s="52" customFormat="1" x14ac:dyDescent="0.25"/>
    <row r="523" s="52" customFormat="1" x14ac:dyDescent="0.25"/>
    <row r="524" s="52" customFormat="1" x14ac:dyDescent="0.25"/>
    <row r="525" s="52" customFormat="1" x14ac:dyDescent="0.25"/>
    <row r="526" s="52" customFormat="1" x14ac:dyDescent="0.25"/>
    <row r="527" s="52" customFormat="1" x14ac:dyDescent="0.25"/>
    <row r="528" s="52" customFormat="1" x14ac:dyDescent="0.25"/>
    <row r="529" s="52" customFormat="1" x14ac:dyDescent="0.25"/>
    <row r="530" s="52" customFormat="1" x14ac:dyDescent="0.25"/>
    <row r="531" s="52" customFormat="1" x14ac:dyDescent="0.25"/>
    <row r="532" s="52" customFormat="1" x14ac:dyDescent="0.25"/>
    <row r="533" s="52" customFormat="1" x14ac:dyDescent="0.25"/>
    <row r="534" s="52" customFormat="1" x14ac:dyDescent="0.25"/>
    <row r="535" s="52" customFormat="1" x14ac:dyDescent="0.25"/>
    <row r="536" s="52" customFormat="1" x14ac:dyDescent="0.25"/>
    <row r="537" s="52" customFormat="1" x14ac:dyDescent="0.25"/>
    <row r="538" s="52" customFormat="1" x14ac:dyDescent="0.25"/>
    <row r="539" s="52" customFormat="1" x14ac:dyDescent="0.25"/>
    <row r="540" s="52" customFormat="1" x14ac:dyDescent="0.25"/>
    <row r="541" s="52" customFormat="1" x14ac:dyDescent="0.25"/>
    <row r="542" s="52" customFormat="1" x14ac:dyDescent="0.25"/>
    <row r="543" s="52" customFormat="1" x14ac:dyDescent="0.25"/>
    <row r="544" s="52" customFormat="1" x14ac:dyDescent="0.25"/>
    <row r="545" s="52" customFormat="1" x14ac:dyDescent="0.25"/>
    <row r="546" s="52" customFormat="1" x14ac:dyDescent="0.25"/>
    <row r="547" s="52" customFormat="1" x14ac:dyDescent="0.25"/>
    <row r="548" s="52" customFormat="1" x14ac:dyDescent="0.25"/>
    <row r="549" s="52" customFormat="1" x14ac:dyDescent="0.25"/>
    <row r="550" s="52" customFormat="1" x14ac:dyDescent="0.25"/>
    <row r="551" s="52" customFormat="1" x14ac:dyDescent="0.25"/>
    <row r="552" s="52" customFormat="1" x14ac:dyDescent="0.25"/>
  </sheetData>
  <phoneticPr fontId="18" type="noConversion"/>
  <pageMargins left="0.7" right="0.7" top="0.75" bottom="0.75" header="0.3" footer="0.3"/>
  <headerFooter>
    <oddFooter>&amp;C_x000D_&amp;1#&amp;"Aptos"&amp;6&amp;K000000 ECP-INFORMACION PUBLICA</oddFooter>
  </headerFooter>
  <ignoredErrors>
    <ignoredError sqref="G3 G25 G27" formula="1"/>
    <ignoredError sqref="C32" formulaRange="1"/>
  </ignoredError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C80"/>
  <sheetViews>
    <sheetView tabSelected="1" workbookViewId="0">
      <pane xSplit="5" ySplit="3" topLeftCell="F6" activePane="bottomRight" state="frozen"/>
      <selection pane="topRight" activeCell="D1" sqref="D1"/>
      <selection pane="bottomLeft" activeCell="A3" sqref="A3"/>
      <selection pane="bottomRight" activeCell="H6" sqref="H6"/>
    </sheetView>
  </sheetViews>
  <sheetFormatPr baseColWidth="10" defaultColWidth="9.140625" defaultRowHeight="15" customHeight="1" x14ac:dyDescent="0.25"/>
  <cols>
    <col min="1" max="1" width="3" style="2" customWidth="1"/>
    <col min="2" max="2" width="27.85546875" style="2" customWidth="1"/>
    <col min="3" max="3" width="9.140625" style="2"/>
    <col min="4" max="4" width="11.28515625" style="2" customWidth="1"/>
    <col min="5" max="5" width="16.28515625" style="2" customWidth="1"/>
    <col min="6" max="6" width="15.140625" style="2" customWidth="1"/>
    <col min="7" max="8" width="15" style="2" customWidth="1"/>
    <col min="9" max="9" width="17" style="2" bestFit="1" customWidth="1"/>
    <col min="10" max="10" width="17" style="2" customWidth="1"/>
    <col min="11" max="12" width="18.7109375" style="2" customWidth="1"/>
    <col min="13" max="14" width="17" style="2" customWidth="1"/>
    <col min="15" max="15" width="19.140625" style="2" bestFit="1" customWidth="1"/>
    <col min="16" max="16" width="17.140625" style="2" bestFit="1" customWidth="1"/>
    <col min="17" max="17" width="5" style="2" bestFit="1" customWidth="1"/>
    <col min="18" max="18" width="17.140625" style="2" customWidth="1"/>
    <col min="19" max="19" width="13" style="2" customWidth="1"/>
    <col min="20" max="20" width="9.140625" style="2"/>
    <col min="21" max="22" width="13.140625" style="2" customWidth="1"/>
    <col min="23" max="23" width="14.85546875" style="2" bestFit="1" customWidth="1"/>
    <col min="24" max="25" width="16" style="2" bestFit="1" customWidth="1"/>
    <col min="26" max="26" width="14.5703125" style="2" customWidth="1"/>
    <col min="27" max="27" width="12.7109375" style="2" customWidth="1"/>
    <col min="28" max="28" width="16.28515625" style="2" customWidth="1"/>
    <col min="29" max="29" width="47.28515625" style="2" bestFit="1" customWidth="1"/>
    <col min="30" max="16384" width="9.140625" style="2"/>
  </cols>
  <sheetData>
    <row r="1" spans="1:29" ht="15" customHeight="1" x14ac:dyDescent="0.25">
      <c r="A1" s="2" t="s">
        <v>131</v>
      </c>
    </row>
    <row r="2" spans="1:29" ht="15" customHeight="1" x14ac:dyDescent="0.25">
      <c r="A2" s="1"/>
      <c r="B2" s="185" t="s">
        <v>132</v>
      </c>
      <c r="C2" s="187" t="s">
        <v>133</v>
      </c>
      <c r="D2" s="189" t="s">
        <v>134</v>
      </c>
      <c r="E2" s="189" t="s">
        <v>135</v>
      </c>
      <c r="F2" s="189" t="s">
        <v>136</v>
      </c>
      <c r="G2" s="189" t="s">
        <v>52</v>
      </c>
      <c r="H2" s="183" t="s">
        <v>137</v>
      </c>
      <c r="I2" s="196" t="s">
        <v>138</v>
      </c>
      <c r="J2" s="197"/>
      <c r="K2" s="197"/>
      <c r="L2" s="197"/>
      <c r="M2" s="197"/>
      <c r="N2" s="197"/>
      <c r="O2" s="197"/>
      <c r="P2" s="198"/>
      <c r="Q2" s="194" t="s">
        <v>93</v>
      </c>
      <c r="R2" s="195"/>
      <c r="S2" s="191" t="s">
        <v>139</v>
      </c>
      <c r="T2" s="191" t="s">
        <v>140</v>
      </c>
      <c r="U2" s="191" t="s">
        <v>141</v>
      </c>
      <c r="V2" s="191" t="s">
        <v>142</v>
      </c>
      <c r="W2" s="193" t="s">
        <v>143</v>
      </c>
      <c r="X2" s="193"/>
      <c r="Y2" s="193"/>
      <c r="Z2" s="193"/>
      <c r="AA2" s="193"/>
      <c r="AB2" s="181" t="s">
        <v>127</v>
      </c>
      <c r="AC2" s="181" t="s">
        <v>144</v>
      </c>
    </row>
    <row r="3" spans="1:29" ht="43.5" customHeight="1" x14ac:dyDescent="0.25">
      <c r="A3" s="1"/>
      <c r="B3" s="186"/>
      <c r="C3" s="188"/>
      <c r="D3" s="190"/>
      <c r="E3" s="190"/>
      <c r="F3" s="190"/>
      <c r="G3" s="190"/>
      <c r="H3" s="184"/>
      <c r="I3" s="4" t="s">
        <v>145</v>
      </c>
      <c r="J3" s="4" t="s">
        <v>146</v>
      </c>
      <c r="K3" s="4" t="s">
        <v>147</v>
      </c>
      <c r="L3" s="4" t="s">
        <v>148</v>
      </c>
      <c r="M3" s="4" t="s">
        <v>16</v>
      </c>
      <c r="N3" s="4" t="s">
        <v>149</v>
      </c>
      <c r="O3" s="4" t="s">
        <v>150</v>
      </c>
      <c r="P3" s="9" t="s">
        <v>127</v>
      </c>
      <c r="Q3" s="9" t="s">
        <v>5</v>
      </c>
      <c r="R3" s="9" t="s">
        <v>151</v>
      </c>
      <c r="S3" s="192"/>
      <c r="T3" s="192"/>
      <c r="U3" s="192"/>
      <c r="V3" s="192"/>
      <c r="W3" s="8">
        <v>2024</v>
      </c>
      <c r="X3" s="8">
        <v>2025</v>
      </c>
      <c r="Y3" s="8">
        <v>2026</v>
      </c>
      <c r="Z3" s="8">
        <v>2027</v>
      </c>
      <c r="AA3" s="8">
        <v>2028</v>
      </c>
      <c r="AB3" s="182"/>
      <c r="AC3" s="182"/>
    </row>
    <row r="4" spans="1:29" hidden="1" x14ac:dyDescent="0.25">
      <c r="A4" s="31" t="s">
        <v>152</v>
      </c>
      <c r="B4" s="5" t="s">
        <v>153</v>
      </c>
      <c r="C4" s="3">
        <v>236</v>
      </c>
      <c r="D4" s="3">
        <v>10</v>
      </c>
      <c r="E4" s="3" t="s">
        <v>154</v>
      </c>
      <c r="F4" s="33">
        <v>45166</v>
      </c>
      <c r="G4" s="6">
        <v>4100</v>
      </c>
      <c r="H4" s="6">
        <v>500000</v>
      </c>
      <c r="I4" s="6">
        <v>21843349</v>
      </c>
      <c r="J4" s="6">
        <v>424897</v>
      </c>
      <c r="K4" s="6"/>
      <c r="L4" s="6"/>
      <c r="M4" s="6">
        <v>429119</v>
      </c>
      <c r="N4" s="6">
        <v>245760</v>
      </c>
      <c r="O4" s="6">
        <v>2637925.15</v>
      </c>
      <c r="P4" s="10">
        <f t="shared" ref="P4:P14" si="0">SUM(I4:O4)+H4</f>
        <v>26081050.149999999</v>
      </c>
      <c r="Q4" s="35">
        <v>0.25</v>
      </c>
      <c r="R4" s="10">
        <f>+Q4*P4</f>
        <v>6520262.5374999996</v>
      </c>
      <c r="S4" s="11">
        <f t="shared" ref="S4:S12" si="1">+O4/P4</f>
        <v>0.10114336404510153</v>
      </c>
      <c r="T4" s="13">
        <v>18.2</v>
      </c>
      <c r="U4" s="6">
        <f>I4/C4</f>
        <v>92556.563559322036</v>
      </c>
      <c r="V4" s="6">
        <f>P4/C4</f>
        <v>110512.92436440678</v>
      </c>
      <c r="W4" s="6">
        <v>500000</v>
      </c>
      <c r="X4" s="6">
        <f>(P4-W4)*0.8</f>
        <v>20464840.120000001</v>
      </c>
      <c r="Y4" s="6">
        <f>(P4-W4)*0.2</f>
        <v>5116210.03</v>
      </c>
      <c r="Z4" s="6"/>
      <c r="AA4" s="6"/>
      <c r="AB4" s="6">
        <f>SUM(W4:AA4)</f>
        <v>26081050.150000002</v>
      </c>
      <c r="AC4" s="32"/>
    </row>
    <row r="5" spans="1:29" hidden="1" x14ac:dyDescent="0.25">
      <c r="A5" s="31" t="s">
        <v>152</v>
      </c>
      <c r="B5" s="5" t="s">
        <v>155</v>
      </c>
      <c r="C5" s="3">
        <v>82</v>
      </c>
      <c r="D5" s="3">
        <v>7</v>
      </c>
      <c r="E5" s="3" t="s">
        <v>156</v>
      </c>
      <c r="F5" s="33">
        <v>45335</v>
      </c>
      <c r="G5" s="6">
        <v>4100</v>
      </c>
      <c r="H5" s="6">
        <v>522000</v>
      </c>
      <c r="I5" s="6">
        <v>11305882.491095586</v>
      </c>
      <c r="J5" s="6">
        <v>184172</v>
      </c>
      <c r="K5" s="6">
        <v>246161</v>
      </c>
      <c r="L5" s="6">
        <v>100000</v>
      </c>
      <c r="M5" s="6">
        <v>148000</v>
      </c>
      <c r="N5" s="6">
        <v>250986</v>
      </c>
      <c r="O5" s="6">
        <v>1445719</v>
      </c>
      <c r="P5" s="10">
        <f t="shared" si="0"/>
        <v>14202920.491095586</v>
      </c>
      <c r="Q5" s="35">
        <v>0.25</v>
      </c>
      <c r="R5" s="10">
        <f>+Q5*P5</f>
        <v>3550730.1227738964</v>
      </c>
      <c r="S5" s="11">
        <f t="shared" si="1"/>
        <v>0.10179026214406978</v>
      </c>
      <c r="T5" s="14">
        <v>32</v>
      </c>
      <c r="U5" s="6">
        <f t="shared" ref="U5:U14" si="2">I5/C5</f>
        <v>137876.61574506812</v>
      </c>
      <c r="V5" s="6">
        <f t="shared" ref="V5:V12" si="3">P5/C5</f>
        <v>173206.34745238521</v>
      </c>
      <c r="W5" s="6">
        <v>522000</v>
      </c>
      <c r="X5" s="6">
        <f>(P5-W5)*0.8</f>
        <v>10944736.392876469</v>
      </c>
      <c r="Y5" s="6">
        <f>(P5-W5)*0.2</f>
        <v>2736184.0982191171</v>
      </c>
      <c r="Z5" s="6"/>
      <c r="AA5" s="6"/>
      <c r="AB5" s="6">
        <f t="shared" ref="AB5:AB11" si="4">SUM(W5:AA5)</f>
        <v>14202920.491095586</v>
      </c>
      <c r="AC5" s="32"/>
    </row>
    <row r="6" spans="1:29" x14ac:dyDescent="0.25">
      <c r="A6" s="178" t="s">
        <v>152</v>
      </c>
      <c r="B6" s="172" t="s">
        <v>157</v>
      </c>
      <c r="C6" s="173">
        <v>116</v>
      </c>
      <c r="D6" s="173">
        <v>7</v>
      </c>
      <c r="E6" s="173" t="s">
        <v>158</v>
      </c>
      <c r="F6" s="174">
        <v>45527</v>
      </c>
      <c r="G6" s="15">
        <v>4100</v>
      </c>
      <c r="H6" s="15"/>
      <c r="I6" s="95">
        <v>10048561</v>
      </c>
      <c r="J6" s="15">
        <v>284015.91380487802</v>
      </c>
      <c r="K6" s="15"/>
      <c r="L6" s="15"/>
      <c r="M6" s="15">
        <v>183472</v>
      </c>
      <c r="N6" s="15"/>
      <c r="O6" s="15">
        <v>1401344</v>
      </c>
      <c r="P6" s="175">
        <f>SUM(I6:O6)+H6</f>
        <v>11917392.913804878</v>
      </c>
      <c r="Q6" s="176">
        <v>0.1</v>
      </c>
      <c r="R6" s="175">
        <f>+Q6*P6</f>
        <v>1191739.2913804878</v>
      </c>
      <c r="S6" s="177">
        <f t="shared" si="1"/>
        <v>0.11758813442969647</v>
      </c>
      <c r="T6" s="14">
        <v>27</v>
      </c>
      <c r="U6" s="15">
        <f t="shared" si="2"/>
        <v>86625.525862068971</v>
      </c>
      <c r="V6" s="15">
        <f t="shared" si="3"/>
        <v>102736.14580866274</v>
      </c>
      <c r="W6" s="15"/>
      <c r="Y6" s="15">
        <f>H6</f>
        <v>0</v>
      </c>
      <c r="Z6" s="15">
        <f>(I6+J6+K6+N6+O6)-309899</f>
        <v>11424021.913804878</v>
      </c>
      <c r="AA6" s="15">
        <f>M6+309899</f>
        <v>493371</v>
      </c>
      <c r="AB6" s="15">
        <f t="shared" si="4"/>
        <v>11917392.913804878</v>
      </c>
      <c r="AC6" s="16"/>
    </row>
    <row r="7" spans="1:29" hidden="1" x14ac:dyDescent="0.25">
      <c r="A7" s="31" t="s">
        <v>152</v>
      </c>
      <c r="B7" s="5" t="s">
        <v>159</v>
      </c>
      <c r="C7" s="3">
        <v>155</v>
      </c>
      <c r="D7" s="3">
        <v>9</v>
      </c>
      <c r="E7" s="3" t="s">
        <v>160</v>
      </c>
      <c r="F7" s="33">
        <v>44578</v>
      </c>
      <c r="G7" s="6">
        <v>4100</v>
      </c>
      <c r="H7" s="6">
        <v>741475</v>
      </c>
      <c r="I7" s="6">
        <v>14163047.707317073</v>
      </c>
      <c r="J7" s="6">
        <v>308851</v>
      </c>
      <c r="K7" s="6"/>
      <c r="L7" s="6"/>
      <c r="M7" s="6">
        <v>183528</v>
      </c>
      <c r="N7" s="6">
        <v>355696</v>
      </c>
      <c r="O7" s="6">
        <v>1802146</v>
      </c>
      <c r="P7" s="10">
        <f t="shared" si="0"/>
        <v>17554743.707317073</v>
      </c>
      <c r="Q7" s="35">
        <v>0.25</v>
      </c>
      <c r="R7" s="10">
        <f>+Q7*P7</f>
        <v>4388685.9268292682</v>
      </c>
      <c r="S7" s="11">
        <f t="shared" si="1"/>
        <v>0.1026586334751694</v>
      </c>
      <c r="T7" s="14">
        <v>21</v>
      </c>
      <c r="U7" s="6">
        <f t="shared" si="2"/>
        <v>91374.501337529509</v>
      </c>
      <c r="V7" s="6">
        <f t="shared" si="3"/>
        <v>113256.41101494886</v>
      </c>
      <c r="W7" s="6"/>
      <c r="Y7" s="6">
        <f>H7</f>
        <v>741475</v>
      </c>
      <c r="Z7" s="6">
        <f>(I7+J7+K7+N7+O7)-362706</f>
        <v>16267034.707317073</v>
      </c>
      <c r="AA7" s="6">
        <f>M7+362706</f>
        <v>546234</v>
      </c>
      <c r="AB7" s="6">
        <f t="shared" si="4"/>
        <v>17554743.707317073</v>
      </c>
      <c r="AC7" s="16"/>
    </row>
    <row r="8" spans="1:29" hidden="1" x14ac:dyDescent="0.25">
      <c r="A8" s="31" t="s">
        <v>152</v>
      </c>
      <c r="B8" s="5" t="s">
        <v>161</v>
      </c>
      <c r="C8" s="3">
        <v>263</v>
      </c>
      <c r="D8" s="3">
        <v>11</v>
      </c>
      <c r="E8" s="3" t="s">
        <v>158</v>
      </c>
      <c r="F8" s="33">
        <v>45370</v>
      </c>
      <c r="G8" s="6">
        <v>4100</v>
      </c>
      <c r="H8" s="6">
        <v>550000</v>
      </c>
      <c r="I8" s="6">
        <v>28025248.170731708</v>
      </c>
      <c r="J8" s="6">
        <v>424898</v>
      </c>
      <c r="K8" s="6"/>
      <c r="L8" s="6"/>
      <c r="M8" s="6">
        <v>345071</v>
      </c>
      <c r="N8" s="6">
        <v>355696</v>
      </c>
      <c r="O8" s="6">
        <v>3270000</v>
      </c>
      <c r="P8" s="10">
        <f t="shared" si="0"/>
        <v>32970913.170731708</v>
      </c>
      <c r="Q8" s="35">
        <v>0.25</v>
      </c>
      <c r="R8" s="10">
        <f>+Q8*P8</f>
        <v>8242728.2926829271</v>
      </c>
      <c r="S8" s="11">
        <f t="shared" si="1"/>
        <v>9.917832675932009E-2</v>
      </c>
      <c r="T8" s="14">
        <v>24</v>
      </c>
      <c r="U8" s="6">
        <f t="shared" si="2"/>
        <v>106559.87897616619</v>
      </c>
      <c r="V8" s="6">
        <f t="shared" si="3"/>
        <v>125364.68886209776</v>
      </c>
      <c r="W8" s="6"/>
      <c r="X8" s="6"/>
      <c r="Y8" s="15">
        <f>H8</f>
        <v>550000</v>
      </c>
      <c r="Z8" s="6">
        <f>(I8+J8+K8+N8+O8)-362706</f>
        <v>31713136.170731708</v>
      </c>
      <c r="AA8" s="6">
        <f>M8+362706</f>
        <v>707777</v>
      </c>
      <c r="AB8" s="6">
        <f t="shared" si="4"/>
        <v>32970913.170731708</v>
      </c>
      <c r="AC8" s="16"/>
    </row>
    <row r="9" spans="1:29" hidden="1" x14ac:dyDescent="0.25">
      <c r="A9" s="31" t="s">
        <v>152</v>
      </c>
      <c r="B9" s="5" t="s">
        <v>162</v>
      </c>
      <c r="C9" s="3">
        <v>223</v>
      </c>
      <c r="D9" s="3">
        <v>10</v>
      </c>
      <c r="E9" s="3" t="s">
        <v>163</v>
      </c>
      <c r="F9" s="34">
        <v>45131</v>
      </c>
      <c r="G9" s="6">
        <v>4100</v>
      </c>
      <c r="H9" s="6">
        <f>539661*0.5</f>
        <v>269830.5</v>
      </c>
      <c r="I9" s="6">
        <f>17525259*0.5</f>
        <v>8762629.5</v>
      </c>
      <c r="J9" s="6">
        <f>430113*0.5</f>
        <v>215056.5</v>
      </c>
      <c r="K9" s="6">
        <f>324485*0.5</f>
        <v>162242.5</v>
      </c>
      <c r="L9" s="6">
        <v>0</v>
      </c>
      <c r="M9" s="6">
        <f>364000*0.5</f>
        <v>182000</v>
      </c>
      <c r="N9" s="6">
        <f>409512*0.5</f>
        <v>204756</v>
      </c>
      <c r="O9" s="6">
        <f>1380096*0.5</f>
        <v>690048</v>
      </c>
      <c r="P9" s="10">
        <f t="shared" si="0"/>
        <v>10486563</v>
      </c>
      <c r="Q9" s="35"/>
      <c r="R9" s="10"/>
      <c r="S9" s="11">
        <f t="shared" si="1"/>
        <v>6.5803066266802573E-2</v>
      </c>
      <c r="T9" s="14">
        <v>27</v>
      </c>
      <c r="U9" s="6">
        <f t="shared" si="2"/>
        <v>39294.302690582961</v>
      </c>
      <c r="V9" s="6">
        <f t="shared" si="3"/>
        <v>47024.946188340808</v>
      </c>
      <c r="W9" s="6">
        <v>140000</v>
      </c>
      <c r="X9" s="6">
        <v>1262576</v>
      </c>
      <c r="Y9" s="6">
        <v>19479349</v>
      </c>
      <c r="Z9" s="6">
        <v>91200</v>
      </c>
      <c r="AA9" s="6" t="s">
        <v>163</v>
      </c>
      <c r="AB9" s="6">
        <f t="shared" si="4"/>
        <v>20973125</v>
      </c>
      <c r="AC9" s="44" t="s">
        <v>164</v>
      </c>
    </row>
    <row r="10" spans="1:29" hidden="1" x14ac:dyDescent="0.25">
      <c r="A10" s="31" t="s">
        <v>152</v>
      </c>
      <c r="B10" s="5" t="s">
        <v>165</v>
      </c>
      <c r="C10" s="3">
        <v>694</v>
      </c>
      <c r="D10" s="3">
        <v>11</v>
      </c>
      <c r="E10" s="3" t="s">
        <v>163</v>
      </c>
      <c r="F10" s="34">
        <v>45266</v>
      </c>
      <c r="G10" s="6">
        <v>4100</v>
      </c>
      <c r="H10" s="6">
        <v>3570660</v>
      </c>
      <c r="I10" s="6">
        <v>10994529</v>
      </c>
      <c r="J10" s="6">
        <v>0</v>
      </c>
      <c r="K10" s="6">
        <v>0</v>
      </c>
      <c r="L10" s="6">
        <v>0</v>
      </c>
      <c r="M10" s="6">
        <v>520500</v>
      </c>
      <c r="N10" s="6">
        <v>237805</v>
      </c>
      <c r="O10" s="6">
        <v>914157</v>
      </c>
      <c r="P10" s="10">
        <f t="shared" si="0"/>
        <v>16237651</v>
      </c>
      <c r="Q10" s="35"/>
      <c r="R10" s="10"/>
      <c r="S10" s="11">
        <f t="shared" si="1"/>
        <v>5.6298598855216188E-2</v>
      </c>
      <c r="T10" s="170"/>
      <c r="U10" s="6">
        <f t="shared" si="2"/>
        <v>15842.260806916427</v>
      </c>
      <c r="V10" s="6">
        <f t="shared" si="3"/>
        <v>23397.191642651298</v>
      </c>
      <c r="W10" s="6">
        <v>2434249</v>
      </c>
      <c r="X10" s="6">
        <v>1582877</v>
      </c>
      <c r="Y10" s="6">
        <v>10704673</v>
      </c>
      <c r="Z10" s="6">
        <v>1515853</v>
      </c>
      <c r="AA10" s="6" t="s">
        <v>163</v>
      </c>
      <c r="AB10" s="6">
        <f t="shared" si="4"/>
        <v>16237652</v>
      </c>
      <c r="AC10" s="45" t="s">
        <v>166</v>
      </c>
    </row>
    <row r="11" spans="1:29" hidden="1" x14ac:dyDescent="0.25">
      <c r="A11" s="31" t="s">
        <v>152</v>
      </c>
      <c r="B11" s="5" t="s">
        <v>167</v>
      </c>
      <c r="C11" s="3">
        <v>750</v>
      </c>
      <c r="D11" s="3">
        <v>11</v>
      </c>
      <c r="E11" s="3" t="s">
        <v>163</v>
      </c>
      <c r="F11" s="34">
        <v>45266</v>
      </c>
      <c r="G11" s="6">
        <v>4100</v>
      </c>
      <c r="H11" s="6">
        <v>262195</v>
      </c>
      <c r="I11" s="6">
        <v>11407529</v>
      </c>
      <c r="J11" s="6">
        <v>0</v>
      </c>
      <c r="K11" s="6">
        <v>0</v>
      </c>
      <c r="L11" s="6">
        <v>0</v>
      </c>
      <c r="M11" s="6">
        <v>562500</v>
      </c>
      <c r="N11" s="6">
        <v>158537</v>
      </c>
      <c r="O11" s="6">
        <v>574885</v>
      </c>
      <c r="P11" s="10">
        <f t="shared" si="0"/>
        <v>12965646</v>
      </c>
      <c r="Q11" s="35"/>
      <c r="R11" s="10"/>
      <c r="S11" s="11">
        <f t="shared" si="1"/>
        <v>4.4339094249526791E-2</v>
      </c>
      <c r="T11" s="6" t="s">
        <v>163</v>
      </c>
      <c r="U11" s="6">
        <f>I11/C11</f>
        <v>15210.038666666667</v>
      </c>
      <c r="V11" s="6">
        <f t="shared" si="3"/>
        <v>17287.527999999998</v>
      </c>
      <c r="W11" s="6">
        <v>564882</v>
      </c>
      <c r="X11" s="6">
        <v>12400765</v>
      </c>
      <c r="Y11" s="6"/>
      <c r="Z11" s="6" t="s">
        <v>163</v>
      </c>
      <c r="AA11" s="6" t="s">
        <v>163</v>
      </c>
      <c r="AB11" s="6">
        <f t="shared" si="4"/>
        <v>12965647</v>
      </c>
      <c r="AC11" s="17"/>
    </row>
    <row r="12" spans="1:29" x14ac:dyDescent="0.25">
      <c r="A12" s="169" t="s">
        <v>168</v>
      </c>
      <c r="B12" s="161" t="s">
        <v>6</v>
      </c>
      <c r="C12" s="162">
        <v>313</v>
      </c>
      <c r="D12" s="162">
        <v>12</v>
      </c>
      <c r="E12" s="3" t="s">
        <v>158</v>
      </c>
      <c r="F12" s="163">
        <v>45030</v>
      </c>
      <c r="G12" s="6">
        <v>4500</v>
      </c>
      <c r="H12" s="164"/>
      <c r="I12" s="164">
        <v>18687978</v>
      </c>
      <c r="J12" s="6">
        <v>374586.66999999993</v>
      </c>
      <c r="K12" s="164">
        <v>0</v>
      </c>
      <c r="L12" s="164">
        <v>0</v>
      </c>
      <c r="M12" s="6">
        <v>625683.80000000005</v>
      </c>
      <c r="N12" s="6">
        <v>50688.84</v>
      </c>
      <c r="O12" s="6">
        <v>2761375</v>
      </c>
      <c r="P12" s="10">
        <f t="shared" si="0"/>
        <v>22500312.310000002</v>
      </c>
      <c r="Q12" s="166">
        <v>0</v>
      </c>
      <c r="R12" s="165">
        <v>0</v>
      </c>
      <c r="S12" s="11">
        <f t="shared" si="1"/>
        <v>0.12272607428532176</v>
      </c>
      <c r="T12" s="171" t="s">
        <v>169</v>
      </c>
      <c r="U12" s="6">
        <f t="shared" si="2"/>
        <v>59706</v>
      </c>
      <c r="V12" s="6">
        <f t="shared" si="3"/>
        <v>71885.981821086272</v>
      </c>
      <c r="W12" s="164"/>
      <c r="X12" s="164"/>
      <c r="Y12" s="164"/>
      <c r="Z12" s="164"/>
      <c r="AA12" s="164"/>
      <c r="AB12" s="164"/>
      <c r="AC12" s="167"/>
    </row>
    <row r="13" spans="1:29" x14ac:dyDescent="0.25">
      <c r="A13" s="169" t="s">
        <v>168</v>
      </c>
      <c r="B13" s="161" t="s">
        <v>170</v>
      </c>
      <c r="C13" s="162">
        <v>101</v>
      </c>
      <c r="D13" s="162">
        <v>8</v>
      </c>
      <c r="E13" s="162" t="s">
        <v>171</v>
      </c>
      <c r="F13" s="163">
        <v>45265</v>
      </c>
      <c r="G13" s="6">
        <v>4100</v>
      </c>
      <c r="H13" s="6">
        <v>82297.929999999993</v>
      </c>
      <c r="I13" s="164">
        <v>8822274.9000000004</v>
      </c>
      <c r="J13" s="164">
        <v>229638.51</v>
      </c>
      <c r="K13" s="164">
        <v>0</v>
      </c>
      <c r="L13" s="164">
        <v>0</v>
      </c>
      <c r="M13" s="164">
        <v>149826.52000000002</v>
      </c>
      <c r="N13">
        <v>48402.1</v>
      </c>
      <c r="O13" s="164">
        <v>1370676</v>
      </c>
      <c r="P13" s="10">
        <f t="shared" si="0"/>
        <v>10703115.959999999</v>
      </c>
      <c r="Q13" s="166">
        <v>0</v>
      </c>
      <c r="R13" s="165">
        <v>0</v>
      </c>
      <c r="S13" s="11">
        <f>+O13/P13</f>
        <v>0.12806326728800574</v>
      </c>
      <c r="T13" s="171" t="s">
        <v>172</v>
      </c>
      <c r="U13" s="6">
        <f t="shared" si="2"/>
        <v>87349.256435643561</v>
      </c>
      <c r="V13" s="6">
        <f>P13/C13</f>
        <v>105971.44514851485</v>
      </c>
      <c r="W13" s="164"/>
      <c r="X13" s="164"/>
      <c r="Y13" s="164"/>
      <c r="Z13" s="164"/>
      <c r="AA13" s="164"/>
      <c r="AB13" s="164"/>
      <c r="AC13" s="167"/>
    </row>
    <row r="14" spans="1:29" x14ac:dyDescent="0.25">
      <c r="A14" s="169" t="s">
        <v>168</v>
      </c>
      <c r="B14" s="161" t="s">
        <v>173</v>
      </c>
      <c r="C14" s="162">
        <v>193</v>
      </c>
      <c r="D14" s="162">
        <v>10</v>
      </c>
      <c r="E14" s="162">
        <v>10000</v>
      </c>
      <c r="F14" s="163">
        <v>45468</v>
      </c>
      <c r="G14" s="164">
        <v>4100</v>
      </c>
      <c r="H14" s="164"/>
      <c r="I14" s="164">
        <v>21630859</v>
      </c>
      <c r="J14" s="164">
        <v>184553.37</v>
      </c>
      <c r="K14" s="164">
        <v>0</v>
      </c>
      <c r="L14" s="164">
        <v>0</v>
      </c>
      <c r="M14" s="164">
        <v>238112.11</v>
      </c>
      <c r="N14" s="164">
        <v>161761.49000000002</v>
      </c>
      <c r="O14" s="164">
        <v>2320249</v>
      </c>
      <c r="P14" s="10">
        <f t="shared" si="0"/>
        <v>24535534.969999999</v>
      </c>
      <c r="Q14" s="166">
        <v>0</v>
      </c>
      <c r="R14" s="165">
        <v>0</v>
      </c>
      <c r="S14" s="11">
        <f>+O14/P14</f>
        <v>9.456688035687856E-2</v>
      </c>
      <c r="T14" s="171" t="s">
        <v>174</v>
      </c>
      <c r="U14" s="164">
        <f t="shared" si="2"/>
        <v>112076.9896373057</v>
      </c>
      <c r="V14" s="6">
        <f>P14/C14</f>
        <v>127127.12419689119</v>
      </c>
      <c r="W14" s="164"/>
      <c r="X14" s="164"/>
      <c r="Y14" s="164"/>
      <c r="Z14" s="164"/>
      <c r="AA14" s="164"/>
      <c r="AB14" s="164"/>
      <c r="AC14" s="167"/>
    </row>
    <row r="15" spans="1:29" hidden="1" x14ac:dyDescent="0.25">
      <c r="A15" s="1"/>
      <c r="B15" s="18" t="s">
        <v>127</v>
      </c>
      <c r="C15" s="19">
        <f>SUM(C4:C14)</f>
        <v>3126</v>
      </c>
      <c r="D15" s="19"/>
      <c r="E15" s="19"/>
      <c r="F15" s="20"/>
      <c r="G15" s="20"/>
      <c r="H15" s="21">
        <f>SUM(H4:H11)</f>
        <v>6416160.5</v>
      </c>
      <c r="I15" s="22">
        <f>SUM(I4:I11)</f>
        <v>116550775.86914437</v>
      </c>
      <c r="J15" s="22">
        <f>SUM(J4:J11)</f>
        <v>1841890.413804878</v>
      </c>
      <c r="K15" s="22">
        <f>SUM(K4:K11)</f>
        <v>408403.5</v>
      </c>
      <c r="L15" s="22">
        <f>SUM(L4:L14)</f>
        <v>100000</v>
      </c>
      <c r="M15" s="22">
        <f>SUM(M4:M11)</f>
        <v>2554190</v>
      </c>
      <c r="N15" s="22">
        <f>SUM(N4:N11)</f>
        <v>1809236</v>
      </c>
      <c r="O15" s="22">
        <f>SUM(O4:O14)</f>
        <v>19188524.149999999</v>
      </c>
      <c r="P15" s="22">
        <f>SUM(P4:P11)</f>
        <v>142416880.43294924</v>
      </c>
      <c r="Q15" s="22"/>
      <c r="R15" s="22"/>
      <c r="S15" s="23"/>
      <c r="T15" s="24"/>
      <c r="U15" s="24"/>
      <c r="V15" s="24"/>
      <c r="W15" s="25">
        <f t="shared" ref="W15:AB15" si="5">SUM(W4:W11)</f>
        <v>4161131</v>
      </c>
      <c r="X15" s="25">
        <f t="shared" si="5"/>
        <v>46655794.512876466</v>
      </c>
      <c r="Y15" s="25">
        <f t="shared" si="5"/>
        <v>39327891.128219113</v>
      </c>
      <c r="Z15" s="25">
        <f t="shared" si="5"/>
        <v>61011245.791853659</v>
      </c>
      <c r="AA15" s="25">
        <f t="shared" si="5"/>
        <v>1747382</v>
      </c>
      <c r="AB15" s="25">
        <f t="shared" si="5"/>
        <v>152903444.43294924</v>
      </c>
      <c r="AC15" s="26"/>
    </row>
    <row r="16" spans="1:29" x14ac:dyDescent="0.25">
      <c r="A16" s="1"/>
      <c r="B16" s="1"/>
      <c r="C16" s="1"/>
      <c r="D16" s="1"/>
      <c r="F16" s="1"/>
      <c r="G16" s="1"/>
      <c r="H16" s="1"/>
      <c r="I16" s="1"/>
      <c r="J16" s="1"/>
      <c r="K16" s="1"/>
      <c r="L16" s="1"/>
      <c r="M16" s="1"/>
      <c r="N16" s="1"/>
      <c r="O16" s="1"/>
      <c r="P16" s="1"/>
      <c r="Q16" s="1"/>
      <c r="R16" s="1"/>
      <c r="S16" s="1"/>
      <c r="W16" s="1"/>
      <c r="X16" s="1"/>
      <c r="Y16" s="1"/>
      <c r="Z16" s="1"/>
      <c r="AA16" s="1"/>
      <c r="AB16" s="1"/>
    </row>
    <row r="17" spans="2:15" x14ac:dyDescent="0.25">
      <c r="B17" s="2" t="s">
        <v>175</v>
      </c>
      <c r="N17" s="41" t="s">
        <v>176</v>
      </c>
      <c r="O17" s="39" t="s">
        <v>150</v>
      </c>
    </row>
    <row r="18" spans="2:15" x14ac:dyDescent="0.25">
      <c r="B18" s="2" t="s">
        <v>177</v>
      </c>
      <c r="D18" s="179" t="s">
        <v>152</v>
      </c>
      <c r="E18" s="168" t="s">
        <v>178</v>
      </c>
      <c r="N18" s="42" t="s">
        <v>179</v>
      </c>
      <c r="O18" s="36" t="s">
        <v>180</v>
      </c>
    </row>
    <row r="19" spans="2:15" x14ac:dyDescent="0.25">
      <c r="B19" s="2" t="s">
        <v>181</v>
      </c>
      <c r="D19" s="180" t="s">
        <v>168</v>
      </c>
      <c r="E19" s="168" t="s">
        <v>182</v>
      </c>
      <c r="I19" s="27"/>
      <c r="J19" s="27"/>
      <c r="K19" s="27"/>
      <c r="L19" s="27"/>
      <c r="M19" s="27"/>
      <c r="N19" s="43" t="s">
        <v>183</v>
      </c>
      <c r="O19" s="36" t="s">
        <v>184</v>
      </c>
    </row>
    <row r="20" spans="2:15" x14ac:dyDescent="0.25">
      <c r="B20" s="2" t="s">
        <v>185</v>
      </c>
      <c r="N20" s="42" t="s">
        <v>186</v>
      </c>
      <c r="O20" s="36" t="s">
        <v>187</v>
      </c>
    </row>
    <row r="21" spans="2:15" x14ac:dyDescent="0.25">
      <c r="O21" s="36" t="s">
        <v>188</v>
      </c>
    </row>
    <row r="22" spans="2:15" x14ac:dyDescent="0.25">
      <c r="C22" s="28"/>
      <c r="D22" s="28"/>
      <c r="F22" s="39" t="s">
        <v>189</v>
      </c>
      <c r="G22" s="28"/>
      <c r="H22" s="38" t="s">
        <v>165</v>
      </c>
      <c r="O22" s="36" t="s">
        <v>190</v>
      </c>
    </row>
    <row r="23" spans="2:15" x14ac:dyDescent="0.25">
      <c r="F23" s="40" t="s">
        <v>124</v>
      </c>
      <c r="H23" s="36" t="s">
        <v>191</v>
      </c>
      <c r="O23" s="36" t="s">
        <v>192</v>
      </c>
    </row>
    <row r="24" spans="2:15" x14ac:dyDescent="0.25">
      <c r="F24" s="37" t="s">
        <v>125</v>
      </c>
      <c r="H24" s="36" t="s">
        <v>193</v>
      </c>
      <c r="O24" s="36" t="s">
        <v>194</v>
      </c>
    </row>
    <row r="25" spans="2:15" ht="30" x14ac:dyDescent="0.25">
      <c r="F25" s="37" t="s">
        <v>195</v>
      </c>
      <c r="H25" s="36" t="s">
        <v>196</v>
      </c>
      <c r="O25" s="36" t="s">
        <v>197</v>
      </c>
    </row>
    <row r="26" spans="2:15" x14ac:dyDescent="0.25">
      <c r="H26" s="36" t="s">
        <v>198</v>
      </c>
      <c r="O26" s="36" t="s">
        <v>199</v>
      </c>
    </row>
    <row r="27" spans="2:15" x14ac:dyDescent="0.25">
      <c r="O27" s="36" t="s">
        <v>200</v>
      </c>
    </row>
    <row r="28" spans="2:15" x14ac:dyDescent="0.25"/>
    <row r="29" spans="2:15" x14ac:dyDescent="0.25">
      <c r="H29" s="2" t="s">
        <v>201</v>
      </c>
    </row>
    <row r="30" spans="2:15" x14ac:dyDescent="0.25">
      <c r="H30" s="2" t="s">
        <v>202</v>
      </c>
      <c r="O30" s="2" t="s">
        <v>203</v>
      </c>
    </row>
    <row r="31" spans="2:15" x14ac:dyDescent="0.25">
      <c r="O31" s="2" t="s">
        <v>204</v>
      </c>
    </row>
    <row r="32" spans="2:15" x14ac:dyDescent="0.25">
      <c r="H32" s="2" t="s">
        <v>205</v>
      </c>
      <c r="O32" s="2" t="s">
        <v>206</v>
      </c>
    </row>
    <row r="33" spans="8:15" x14ac:dyDescent="0.25">
      <c r="H33" s="2" t="s">
        <v>124</v>
      </c>
      <c r="O33" s="2" t="s">
        <v>207</v>
      </c>
    </row>
    <row r="34" spans="8:15" x14ac:dyDescent="0.25">
      <c r="O34" s="2" t="s">
        <v>208</v>
      </c>
    </row>
    <row r="35" spans="8:15" x14ac:dyDescent="0.25">
      <c r="O35" s="2" t="s">
        <v>209</v>
      </c>
    </row>
    <row r="36" spans="8:15" x14ac:dyDescent="0.25"/>
    <row r="37" spans="8:15" x14ac:dyDescent="0.25"/>
    <row r="38" spans="8:15" x14ac:dyDescent="0.25"/>
    <row r="39" spans="8:15" x14ac:dyDescent="0.25"/>
    <row r="40" spans="8:15" x14ac:dyDescent="0.25"/>
    <row r="41" spans="8:15" x14ac:dyDescent="0.25"/>
    <row r="42" spans="8:15" x14ac:dyDescent="0.25"/>
    <row r="43" spans="8:15" x14ac:dyDescent="0.25"/>
    <row r="44" spans="8:15" x14ac:dyDescent="0.25"/>
    <row r="45" spans="8:15" x14ac:dyDescent="0.25"/>
    <row r="46" spans="8:15" x14ac:dyDescent="0.25"/>
    <row r="47" spans="8:15" x14ac:dyDescent="0.25"/>
    <row r="48" spans="8:15" x14ac:dyDescent="0.25"/>
    <row r="49" x14ac:dyDescent="0.25"/>
    <row r="50" x14ac:dyDescent="0.25"/>
    <row r="51" x14ac:dyDescent="0.25"/>
    <row r="52" x14ac:dyDescent="0.25"/>
    <row r="53" x14ac:dyDescent="0.25"/>
    <row r="54" x14ac:dyDescent="0.25"/>
    <row r="55" x14ac:dyDescent="0.25"/>
    <row r="56" x14ac:dyDescent="0.25"/>
    <row r="57" x14ac:dyDescent="0.25"/>
    <row r="58" x14ac:dyDescent="0.25"/>
    <row r="59" x14ac:dyDescent="0.25"/>
    <row r="60" x14ac:dyDescent="0.25"/>
    <row r="61" x14ac:dyDescent="0.25"/>
    <row r="62" x14ac:dyDescent="0.25"/>
    <row r="63" x14ac:dyDescent="0.25"/>
    <row r="64" x14ac:dyDescent="0.25"/>
    <row r="65" spans="2:12" x14ac:dyDescent="0.25"/>
    <row r="66" spans="2:12" x14ac:dyDescent="0.25"/>
    <row r="67" spans="2:12" x14ac:dyDescent="0.25"/>
    <row r="68" spans="2:12" x14ac:dyDescent="0.25"/>
    <row r="69" spans="2:12" x14ac:dyDescent="0.25"/>
    <row r="70" spans="2:12" x14ac:dyDescent="0.25"/>
    <row r="71" spans="2:12" x14ac:dyDescent="0.25"/>
    <row r="72" spans="2:12" x14ac:dyDescent="0.25"/>
    <row r="73" spans="2:12" x14ac:dyDescent="0.25"/>
    <row r="74" spans="2:12" x14ac:dyDescent="0.25"/>
    <row r="75" spans="2:12" x14ac:dyDescent="0.25"/>
    <row r="76" spans="2:12" x14ac:dyDescent="0.25"/>
    <row r="77" spans="2:12" x14ac:dyDescent="0.25"/>
    <row r="78" spans="2:12" x14ac:dyDescent="0.25"/>
    <row r="79" spans="2:12" x14ac:dyDescent="0.25">
      <c r="B79" s="29" t="s">
        <v>153</v>
      </c>
      <c r="C79" s="3">
        <v>236</v>
      </c>
      <c r="D79" s="31"/>
      <c r="F79" s="6" t="s">
        <v>210</v>
      </c>
      <c r="G79" s="6">
        <v>4100</v>
      </c>
      <c r="H79" s="6">
        <v>500000</v>
      </c>
      <c r="I79" s="7">
        <v>25453054.900872946</v>
      </c>
      <c r="J79" s="7"/>
      <c r="K79" s="7">
        <v>495913</v>
      </c>
      <c r="L79" s="30"/>
    </row>
    <row r="80" spans="2:12" x14ac:dyDescent="0.25">
      <c r="B80" s="29" t="s">
        <v>155</v>
      </c>
      <c r="C80" s="3">
        <v>82</v>
      </c>
      <c r="D80" s="31"/>
      <c r="F80" s="12">
        <v>45335</v>
      </c>
      <c r="G80" s="6">
        <v>4100</v>
      </c>
      <c r="H80" s="6">
        <v>522000</v>
      </c>
      <c r="I80" s="7">
        <v>11305882.491095586</v>
      </c>
      <c r="J80" s="7"/>
      <c r="K80" s="7">
        <v>385211</v>
      </c>
      <c r="L80" s="30"/>
    </row>
  </sheetData>
  <autoFilter ref="A3:AC15" xr:uid="{00000000-0001-0000-0000-000000000000}">
    <filterColumn colId="1">
      <filters>
        <filter val="Cesar 2023 3D"/>
        <filter val="Cristalina Norte 3D"/>
        <filter val="Flamencos"/>
        <filter val="Yacopi 3D"/>
      </filters>
    </filterColumn>
  </autoFilter>
  <mergeCells count="16">
    <mergeCell ref="AC2:AC3"/>
    <mergeCell ref="H2:H3"/>
    <mergeCell ref="B2:B3"/>
    <mergeCell ref="C2:C3"/>
    <mergeCell ref="F2:F3"/>
    <mergeCell ref="G2:G3"/>
    <mergeCell ref="S2:S3"/>
    <mergeCell ref="T2:T3"/>
    <mergeCell ref="E2:E3"/>
    <mergeCell ref="U2:U3"/>
    <mergeCell ref="V2:V3"/>
    <mergeCell ref="W2:AA2"/>
    <mergeCell ref="D2:D3"/>
    <mergeCell ref="Q2:R2"/>
    <mergeCell ref="I2:P2"/>
    <mergeCell ref="AB2:AB3"/>
  </mergeCells>
  <pageMargins left="0.7" right="0.7" top="0.75" bottom="0.75" header="0.3" footer="0.3"/>
  <pageSetup paperSize="9" orientation="portrait" r:id="rId1"/>
  <headerFooter>
    <oddFooter>&amp;C_x000D_&amp;1#&amp;"Aptos"&amp;6&amp;K000000 ECP-INFORMACION PUBLICA</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Flow_SignoffStatus xmlns="1bbcb992-9cc5-45ee-8958-fac74cad78d2" xsi:nil="true"/>
    <TaxCatchAll xmlns="4e1af2d0-d463-44e5-a0c8-cb65f46cc82d" xsi:nil="true"/>
    <lcf76f155ced4ddcb4097134ff3c332f xmlns="1bbcb992-9cc5-45ee-8958-fac74cad78d2">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79D24A5426BCA94E8D803E22A2B0653A" ma:contentTypeVersion="17" ma:contentTypeDescription="Crear nuevo documento." ma:contentTypeScope="" ma:versionID="bda7b7f5b401c46682728c4c8e07ef34">
  <xsd:schema xmlns:xsd="http://www.w3.org/2001/XMLSchema" xmlns:xs="http://www.w3.org/2001/XMLSchema" xmlns:p="http://schemas.microsoft.com/office/2006/metadata/properties" xmlns:ns2="4e1af2d0-d463-44e5-a0c8-cb65f46cc82d" xmlns:ns3="1bbcb992-9cc5-45ee-8958-fac74cad78d2" targetNamespace="http://schemas.microsoft.com/office/2006/metadata/properties" ma:root="true" ma:fieldsID="071fee7720ac6be16b73cb06bb8ecdb3" ns2:_="" ns3:_="">
    <xsd:import namespace="4e1af2d0-d463-44e5-a0c8-cb65f46cc82d"/>
    <xsd:import namespace="1bbcb992-9cc5-45ee-8958-fac74cad78d2"/>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LengthInSeconds" minOccurs="0"/>
                <xsd:element ref="ns3:lcf76f155ced4ddcb4097134ff3c332f" minOccurs="0"/>
                <xsd:element ref="ns2:TaxCatchAll" minOccurs="0"/>
                <xsd:element ref="ns3:_Flow_SignoffStatu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e1af2d0-d463-44e5-a0c8-cb65f46cc82d"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21" nillable="true" ma:displayName="Taxonomy Catch All Column" ma:hidden="true" ma:list="{347d630c-438f-4835-b565-1a88a3bb92a5}" ma:internalName="TaxCatchAll" ma:showField="CatchAllData" ma:web="4e1af2d0-d463-44e5-a0c8-cb65f46cc82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bbcb992-9cc5-45ee-8958-fac74cad78d2"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Etiquetas de imagen" ma:readOnly="false" ma:fieldId="{5cf76f15-5ced-4ddc-b409-7134ff3c332f}" ma:taxonomyMulti="true" ma:sspId="4192beb2-35a5-4af4-a5ae-50acbeb4e6db" ma:termSetId="09814cd3-568e-fe90-9814-8d621ff8fb84" ma:anchorId="fba54fb3-c3e1-fe81-a776-ca4b69148c4d" ma:open="true" ma:isKeyword="false">
      <xsd:complexType>
        <xsd:sequence>
          <xsd:element ref="pc:Terms" minOccurs="0" maxOccurs="1"/>
        </xsd:sequence>
      </xsd:complexType>
    </xsd:element>
    <xsd:element name="_Flow_SignoffStatus" ma:index="22" nillable="true" ma:displayName="Estado de aprobación" ma:internalName="Estado_x0020_de_x0020_aprobaci_x00f3_n">
      <xsd:simpleType>
        <xsd:restriction base="dms:Text"/>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ma:readOnly="true"/>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0047632-0372-4B3D-BF7F-92D3A8E269CB}">
  <ds:schemaRefs>
    <ds:schemaRef ds:uri="http://schemas.microsoft.com/office/2006/metadata/properties"/>
    <ds:schemaRef ds:uri="http://schemas.microsoft.com/office/infopath/2007/PartnerControls"/>
    <ds:schemaRef ds:uri="1bbcb992-9cc5-45ee-8958-fac74cad78d2"/>
    <ds:schemaRef ds:uri="4e1af2d0-d463-44e5-a0c8-cb65f46cc82d"/>
  </ds:schemaRefs>
</ds:datastoreItem>
</file>

<file path=customXml/itemProps2.xml><?xml version="1.0" encoding="utf-8"?>
<ds:datastoreItem xmlns:ds="http://schemas.openxmlformats.org/officeDocument/2006/customXml" ds:itemID="{24756C55-DC81-4A48-A3CD-FAAA00D6E73A}">
  <ds:schemaRefs>
    <ds:schemaRef ds:uri="http://schemas.microsoft.com/sharepoint/v3/contenttype/forms"/>
  </ds:schemaRefs>
</ds:datastoreItem>
</file>

<file path=customXml/itemProps3.xml><?xml version="1.0" encoding="utf-8"?>
<ds:datastoreItem xmlns:ds="http://schemas.openxmlformats.org/officeDocument/2006/customXml" ds:itemID="{97FE3EE7-F4B2-4185-85CD-E8B0A3D1679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e1af2d0-d463-44e5-a0c8-cb65f46cc82d"/>
    <ds:schemaRef ds:uri="1bbcb992-9cc5-45ee-8958-fac74cad78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6dda216-a899-4ab6-ba29-0dda5f7b7a74}" enabled="1" method="Privileged" siteId="{a4305987-cf78-4f93-9d64-bf18af65397b}"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Cristalina </vt:lpstr>
      <vt:lpstr>Anturio</vt:lpstr>
      <vt:lpstr>Yondo</vt:lpstr>
      <vt:lpstr>Cristalina Pro Jun25</vt:lpstr>
      <vt:lpstr>Mangos Feb25</vt:lpstr>
      <vt:lpstr>19Mar2024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Elizabeth Sorani Quintero Quintero (Estudios Técnicos S.A.S)</dc:creator>
  <cp:keywords/>
  <dc:description/>
  <cp:lastModifiedBy>Trino Salinas Garnica</cp:lastModifiedBy>
  <cp:revision/>
  <dcterms:created xsi:type="dcterms:W3CDTF">2024-03-19T13:03:52Z</dcterms:created>
  <dcterms:modified xsi:type="dcterms:W3CDTF">2026-01-11T05:54:38Z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0x01010079D24A5426BCA94E8D803E22A2B0653A</vt:lpwstr>
  </property>
  <property fmtid="{D5CDD505-2E9C-101B-9397-08002B2CF9AE}" pid="3" name="MediaServiceImageTags">
    <vt:lpwstr/>
  </property>
</Properties>
</file>